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rak\Documents\Parakram\astro_project\astro_aspects\"/>
    </mc:Choice>
  </mc:AlternateContent>
  <xr:revisionPtr revIDLastSave="0" documentId="13_ncr:1_{48C0C2CE-3529-4EE8-A051-3248C0C3B1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tailed_Tasks" sheetId="1" r:id="rId1"/>
    <sheet name="Summary_Dashboard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" l="1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<sst xmlns="http://schemas.openxmlformats.org/spreadsheetml/2006/main" count="636" uniqueCount="266">
  <si>
    <t>Main Module</t>
  </si>
  <si>
    <t>API Endpoint</t>
  </si>
  <si>
    <t>Task ID</t>
  </si>
  <si>
    <t>Task Name</t>
  </si>
  <si>
    <t>Detailed Description</t>
  </si>
  <si>
    <t>Owner</t>
  </si>
  <si>
    <t>Priority</t>
  </si>
  <si>
    <t>Planned Start</t>
  </si>
  <si>
    <t>Planned End</t>
  </si>
  <si>
    <t>Actual End</t>
  </si>
  <si>
    <t>Status</t>
  </si>
  <si>
    <t>% Complete</t>
  </si>
  <si>
    <t>Comments / Notes</t>
  </si>
  <si>
    <t>Last Updated</t>
  </si>
  <si>
    <t>NATAL</t>
  </si>
  <si>
    <t>/natal/build-chart</t>
  </si>
  <si>
    <t>1.1</t>
  </si>
  <si>
    <t>Contract finalize</t>
  </si>
  <si>
    <t>Freeze request/response JSON, add examples</t>
  </si>
  <si>
    <t>Not Started</t>
  </si>
  <si>
    <t>1.2</t>
  </si>
  <si>
    <t>DTOs</t>
  </si>
  <si>
    <t>Create Pydantic models for input/output</t>
  </si>
  <si>
    <t>1.3</t>
  </si>
  <si>
    <t>Validation</t>
  </si>
  <si>
    <t>Validate timezone, lat/lon, and date/time</t>
  </si>
  <si>
    <t>1.4</t>
  </si>
  <si>
    <t>Service Logic</t>
  </si>
  <si>
    <t>Compute planets, signs, houses</t>
  </si>
  <si>
    <t>1.5</t>
  </si>
  <si>
    <t>Controller</t>
  </si>
  <si>
    <t>Create FastAPI route with metadata headers</t>
  </si>
  <si>
    <t>1.6</t>
  </si>
  <si>
    <t>Tests - Unit</t>
  </si>
  <si>
    <t>Unit tests for core logic</t>
  </si>
  <si>
    <t>1.7</t>
  </si>
  <si>
    <t>Tests - Contract</t>
  </si>
  <si>
    <t>Match OpenAPI schema validation</t>
  </si>
  <si>
    <t>1.8</t>
  </si>
  <si>
    <t>Perf Check</t>
  </si>
  <si>
    <t>Benchmark response time</t>
  </si>
  <si>
    <t>1.9</t>
  </si>
  <si>
    <t>Docs</t>
  </si>
  <si>
    <t>Prepare API documentation examples</t>
  </si>
  <si>
    <t>1.10</t>
  </si>
  <si>
    <t>Definition of Done</t>
  </si>
  <si>
    <t>Confirm CI/CD pipeline passes and coverage &gt;90%</t>
  </si>
  <si>
    <t>/natal/dignities-table</t>
  </si>
  <si>
    <t>2.1</t>
  </si>
  <si>
    <t>Freeze dignities response format</t>
  </si>
  <si>
    <t>2.2</t>
  </si>
  <si>
    <t>Rules Config</t>
  </si>
  <si>
    <t>Create YAML for essential dignities</t>
  </si>
  <si>
    <t>2.3</t>
  </si>
  <si>
    <t>Calculator</t>
  </si>
  <si>
    <t>Implement dignity computation logic</t>
  </si>
  <si>
    <t>2.4</t>
  </si>
  <si>
    <t>Implement API endpoint</t>
  </si>
  <si>
    <t>2.5</t>
  </si>
  <si>
    <t>Tests</t>
  </si>
  <si>
    <t>Write tests for dignities</t>
  </si>
  <si>
    <t>2.6</t>
  </si>
  <si>
    <t>Explain scoring method</t>
  </si>
  <si>
    <t>2.7</t>
  </si>
  <si>
    <t>Validated and merged</t>
  </si>
  <si>
    <t>/natal/aspects</t>
  </si>
  <si>
    <t>3.1</t>
  </si>
  <si>
    <t>Define aspect label, strength, and traits</t>
  </si>
  <si>
    <t>3.2</t>
  </si>
  <si>
    <t>Orbs profile</t>
  </si>
  <si>
    <t>Config for orbs per planet/aspect</t>
  </si>
  <si>
    <t>3.3</t>
  </si>
  <si>
    <t>Aspect Engine</t>
  </si>
  <si>
    <t>Compute aspects and strengths</t>
  </si>
  <si>
    <t>3.4</t>
  </si>
  <si>
    <t>Characteristics</t>
  </si>
  <si>
    <t>Map traits from rules file</t>
  </si>
  <si>
    <t>3.5</t>
  </si>
  <si>
    <t>API implementation</t>
  </si>
  <si>
    <t>3.6</t>
  </si>
  <si>
    <t>Write boundary and regression tests</t>
  </si>
  <si>
    <t>3.7</t>
  </si>
  <si>
    <t>Document aspect strength logic</t>
  </si>
  <si>
    <t>3.8</t>
  </si>
  <si>
    <t>/natal/characteristics</t>
  </si>
  <si>
    <t>4.1</t>
  </si>
  <si>
    <t>Define KPI outputs and description</t>
  </si>
  <si>
    <t>4.2</t>
  </si>
  <si>
    <t>KPI Framework</t>
  </si>
  <si>
    <t>Map placements to KPI</t>
  </si>
  <si>
    <t>4.3</t>
  </si>
  <si>
    <t>Narrative Builder</t>
  </si>
  <si>
    <t>Generate deterministic text</t>
  </si>
  <si>
    <t>4.4</t>
  </si>
  <si>
    <t>API route</t>
  </si>
  <si>
    <t>4.5</t>
  </si>
  <si>
    <t>KPI and text output validation</t>
  </si>
  <si>
    <t>4.6</t>
  </si>
  <si>
    <t>Explain KPI mapping</t>
  </si>
  <si>
    <t>4.7</t>
  </si>
  <si>
    <t>Merged and tested</t>
  </si>
  <si>
    <t>REPORTS</t>
  </si>
  <si>
    <t>/reports/life-events</t>
  </si>
  <si>
    <t>5.1</t>
  </si>
  <si>
    <t>Define life events output structure</t>
  </si>
  <si>
    <t>5.2</t>
  </si>
  <si>
    <t>Transit Rules</t>
  </si>
  <si>
    <t>Create rules for event detection</t>
  </si>
  <si>
    <t>5.3</t>
  </si>
  <si>
    <t>Window Solver</t>
  </si>
  <si>
    <t>Compute event windows</t>
  </si>
  <si>
    <t>5.4</t>
  </si>
  <si>
    <t>Event Ranker</t>
  </si>
  <si>
    <t>Assign major/minor scoring</t>
  </si>
  <si>
    <t>5.5</t>
  </si>
  <si>
    <t>Pagination</t>
  </si>
  <si>
    <t>Implement cursor and 206 support</t>
  </si>
  <si>
    <t>5.6</t>
  </si>
  <si>
    <t>Unit tests for life event logic</t>
  </si>
  <si>
    <t>5.7</t>
  </si>
  <si>
    <t>Document event system</t>
  </si>
  <si>
    <t>5.8</t>
  </si>
  <si>
    <t>Merged and validated</t>
  </si>
  <si>
    <t>/reports/timeline</t>
  </si>
  <si>
    <t>6.1</t>
  </si>
  <si>
    <t>Define timeline and summary outputs</t>
  </si>
  <si>
    <t>6.2</t>
  </si>
  <si>
    <t>Timeline Build</t>
  </si>
  <si>
    <t>Generate items and AI summary</t>
  </si>
  <si>
    <t>6.3</t>
  </si>
  <si>
    <t>Add cursor for partial results</t>
  </si>
  <si>
    <t>6.4</t>
  </si>
  <si>
    <t>Validate logic</t>
  </si>
  <si>
    <t>6.5</t>
  </si>
  <si>
    <t>Explain timeline creation</t>
  </si>
  <si>
    <t>6.6</t>
  </si>
  <si>
    <t>/reports/daily-weekly</t>
  </si>
  <si>
    <t>7.1</t>
  </si>
  <si>
    <t>Define areas and color scheme</t>
  </si>
  <si>
    <t>7.2</t>
  </si>
  <si>
    <t>Scoring Map</t>
  </si>
  <si>
    <t>Assign GREEN/RED status</t>
  </si>
  <si>
    <t>7.3</t>
  </si>
  <si>
    <t>Generator</t>
  </si>
  <si>
    <t>Compute summary</t>
  </si>
  <si>
    <t>7.4</t>
  </si>
  <si>
    <t>7.5</t>
  </si>
  <si>
    <t>Write unit tests</t>
  </si>
  <si>
    <t>7.6</t>
  </si>
  <si>
    <t>Document output format</t>
  </si>
  <si>
    <t>7.7</t>
  </si>
  <si>
    <t>Validated</t>
  </si>
  <si>
    <t>/reports/upcoming-events</t>
  </si>
  <si>
    <t>8.1</t>
  </si>
  <si>
    <t>Define event format</t>
  </si>
  <si>
    <t>8.2</t>
  </si>
  <si>
    <t>Finder</t>
  </si>
  <si>
    <t>Scan months ahead</t>
  </si>
  <si>
    <t>8.3</t>
  </si>
  <si>
    <t>Implement API</t>
  </si>
  <si>
    <t>8.4</t>
  </si>
  <si>
    <t>Write validation tests</t>
  </si>
  <si>
    <t>8.5</t>
  </si>
  <si>
    <t>Describe event categories</t>
  </si>
  <si>
    <t>8.6</t>
  </si>
  <si>
    <t>Merged</t>
  </si>
  <si>
    <t>COMPATIBILITY</t>
  </si>
  <si>
    <t>/compat/synastry</t>
  </si>
  <si>
    <t>9.1</t>
  </si>
  <si>
    <t>Define compatibility response structure</t>
  </si>
  <si>
    <t>9.2</t>
  </si>
  <si>
    <t>Pair Engine</t>
  </si>
  <si>
    <t>Compute synastry aspects</t>
  </si>
  <si>
    <t>9.3</t>
  </si>
  <si>
    <t>KPI Scoring</t>
  </si>
  <si>
    <t>Aggregate KPI weights</t>
  </si>
  <si>
    <t>9.4</t>
  </si>
  <si>
    <t>Narrative</t>
  </si>
  <si>
    <t>Generate summary text</t>
  </si>
  <si>
    <t>9.5</t>
  </si>
  <si>
    <t>API endpoint</t>
  </si>
  <si>
    <t>9.6</t>
  </si>
  <si>
    <t>Validate results</t>
  </si>
  <si>
    <t>9.7</t>
  </si>
  <si>
    <t>Add documentation</t>
  </si>
  <si>
    <t>9.8</t>
  </si>
  <si>
    <t>/compat/group</t>
  </si>
  <si>
    <t>10.1</t>
  </si>
  <si>
    <t>Define group output format</t>
  </si>
  <si>
    <t>10.2</t>
  </si>
  <si>
    <t>Pairwise Matrix</t>
  </si>
  <si>
    <t>Compute pairwise synastry</t>
  </si>
  <si>
    <t>10.3</t>
  </si>
  <si>
    <t>Harmony Model</t>
  </si>
  <si>
    <t>Group harmony calculation</t>
  </si>
  <si>
    <t>10.4</t>
  </si>
  <si>
    <t>10.5</t>
  </si>
  <si>
    <t>Add group test cases</t>
  </si>
  <si>
    <t>10.6</t>
  </si>
  <si>
    <t>Describe visualization</t>
  </si>
  <si>
    <t>10.7</t>
  </si>
  <si>
    <t>/compat/soulmate-finder</t>
  </si>
  <si>
    <t>11.1</t>
  </si>
  <si>
    <t>Define soulmate output format</t>
  </si>
  <si>
    <t>11.2</t>
  </si>
  <si>
    <t>Search Space</t>
  </si>
  <si>
    <t>Define DOB range</t>
  </si>
  <si>
    <t>11.3</t>
  </si>
  <si>
    <t>Scorer</t>
  </si>
  <si>
    <t>Implement matching logic</t>
  </si>
  <si>
    <t>11.4</t>
  </si>
  <si>
    <t>11.5</t>
  </si>
  <si>
    <t>Add deterministic test cases</t>
  </si>
  <si>
    <t>11.6</t>
  </si>
  <si>
    <t>Explain ethical boundaries</t>
  </si>
  <si>
    <t>11.7</t>
  </si>
  <si>
    <t>APIs</t>
  </si>
  <si>
    <t>Total Tasks</t>
  </si>
  <si>
    <t>Completed</t>
  </si>
  <si>
    <t>In Progress</t>
  </si>
  <si>
    <t>Progress %</t>
  </si>
  <si>
    <t>Parakram</t>
  </si>
  <si>
    <t>No.</t>
  </si>
  <si>
    <t>Factor</t>
  </si>
  <si>
    <t>Description (as per text)</t>
  </si>
  <si>
    <t>Dominant Planetary Aspect(s) Responsible</t>
  </si>
  <si>
    <t>Explanation</t>
  </si>
  <si>
    <t>Varna</t>
  </si>
  <si>
    <t>Spiritual &amp; mental balance, mutual respect, non-dominance</t>
  </si>
  <si>
    <t>Sun–Jupiter (Trine / Sextile)</t>
  </si>
  <si>
    <t>Mercury–Jupiter (Conjunction / Trine)</t>
  </si>
  <si>
    <t>Sun signifies ego &amp; vitality; Jupiter gives wisdom. A harmonious aspect ensures mutual respect, spiritual balance, and shared values.</t>
  </si>
  <si>
    <t>Vashya</t>
  </si>
  <si>
    <t>Control, dominance, mutual influence</t>
  </si>
  <si>
    <t>Mars–Venus (Square / Opposition)</t>
  </si>
  <si>
    <t>Sun–Moon (Conjunction / Trine)</t>
  </si>
  <si>
    <t>Mars brings assertiveness; Venus governs harmony. Their aspect determines dominance or cooperation. Sun–Moon balance shows mutual influence.</t>
  </si>
  <si>
    <t>Tara</t>
  </si>
  <si>
    <t>Health, longevity, general wellbeing</t>
  </si>
  <si>
    <t>Sun–Moon (Trine / Sextile)</t>
  </si>
  <si>
    <t>Moon–Jupiter (Trine / Conjunction)</t>
  </si>
  <si>
    <t>Moon rules body and emotions; Jupiter gives protection and vitality. Their harmony indicates physical and emotional health in marriage.</t>
  </si>
  <si>
    <t>Yoni</t>
  </si>
  <si>
    <t>Physical attraction &amp; intimacy</t>
  </si>
  <si>
    <t>Venus–Mars (Conjunction / Trine)</t>
  </si>
  <si>
    <t>Venus–Moon (Trine)</t>
  </si>
  <si>
    <t>Venus and Mars together drive sexual chemistry and desire, while Venus–Moon aspects nurture emotional closeness.</t>
  </si>
  <si>
    <t>Rasyadhipati</t>
  </si>
  <si>
    <t>Friendship, mental connection, intellectual sync</t>
  </si>
  <si>
    <t>Mercury–Moon (Trine / Sextile)</t>
  </si>
  <si>
    <t>Mercury–Jupiter (Trine)</t>
  </si>
  <si>
    <t>Mercury symbolizes communication, while Moon and Jupiter govern emotional and philosophical understanding. These aspects build friendship and dialogue.</t>
  </si>
  <si>
    <t>Gana</t>
  </si>
  <si>
    <t>Nature, temperament, and behavioral compatibility</t>
  </si>
  <si>
    <t>Sun–Mars (Trine / Sextile)</t>
  </si>
  <si>
    <t>Moon–Saturn (Trine / Opposition)</t>
  </si>
  <si>
    <t>Gana shows temperament; Sun–Mars relates to vitality and courage, while Moon–Saturn reflects emotional maturity and patience.</t>
  </si>
  <si>
    <t>Rashi</t>
  </si>
  <si>
    <t>Emotional harmony and empathy</t>
  </si>
  <si>
    <t>Moon–Venus (Conjunction / Trine)</t>
  </si>
  <si>
    <t>Moon–Neptune (Trine)</t>
  </si>
  <si>
    <t>Rashi (Moon sign) is ruled by the Moon; its link with Venus or Neptune shows emotional bonding, empathy, and understanding.</t>
  </si>
  <si>
    <t>Nandi (Nadi)</t>
  </si>
  <si>
    <t>Health of progeny, fertility, life energy</t>
  </si>
  <si>
    <t>Jupiter–Venus (Trine / Sextile)</t>
  </si>
  <si>
    <t>Jupiter represents fertility and expansion, Venus governs reproduction and love; their harmony favors progeny and happy family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</si>
</sst>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B1" sqref="B1:B1048576"/>
    </sheetView>
  </sheetViews>
  <sheetFormatPr defaultRowHeight="14.4" x14ac:dyDescent="0.3"/>
  <cols>
    <col min="1" max="1" width="14.109375" bestFit="1" customWidth="1"/>
    <col min="2" max="2" width="24.33203125" bestFit="1" customWidth="1"/>
    <col min="3" max="3" width="7" bestFit="1" customWidth="1"/>
    <col min="4" max="4" width="17.21875" bestFit="1" customWidth="1"/>
    <col min="5" max="5" width="44.6640625" bestFit="1" customWidth="1"/>
    <col min="6" max="6" width="9" bestFit="1" customWidth="1"/>
    <col min="7" max="7" width="7.33203125" bestFit="1" customWidth="1"/>
    <col min="8" max="8" width="12.44140625" bestFit="1" customWidth="1"/>
    <col min="9" max="9" width="11.6640625" bestFit="1" customWidth="1"/>
    <col min="10" max="10" width="10" bestFit="1" customWidth="1"/>
    <col min="11" max="11" width="10.77734375" bestFit="1" customWidth="1"/>
    <col min="12" max="12" width="11.33203125" bestFit="1" customWidth="1"/>
    <col min="13" max="13" width="17.33203125" bestFit="1" customWidth="1"/>
    <col min="14" max="14" width="12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221</v>
      </c>
      <c r="K2" s="2" t="s">
        <v>218</v>
      </c>
      <c r="L2">
        <v>0</v>
      </c>
    </row>
    <row r="3" spans="1:14" x14ac:dyDescent="0.3">
      <c r="A3" t="s">
        <v>14</v>
      </c>
      <c r="B3" t="s">
        <v>15</v>
      </c>
      <c r="C3" t="s">
        <v>20</v>
      </c>
      <c r="D3" t="s">
        <v>21</v>
      </c>
      <c r="E3" t="s">
        <v>22</v>
      </c>
      <c r="F3" t="s">
        <v>221</v>
      </c>
      <c r="K3" s="2" t="s">
        <v>218</v>
      </c>
      <c r="L3">
        <v>0</v>
      </c>
    </row>
    <row r="4" spans="1:14" x14ac:dyDescent="0.3">
      <c r="A4" t="s">
        <v>14</v>
      </c>
      <c r="B4" t="s">
        <v>15</v>
      </c>
      <c r="C4" t="s">
        <v>23</v>
      </c>
      <c r="D4" t="s">
        <v>24</v>
      </c>
      <c r="E4" t="s">
        <v>25</v>
      </c>
      <c r="F4" t="s">
        <v>221</v>
      </c>
      <c r="K4" s="2" t="s">
        <v>218</v>
      </c>
      <c r="L4">
        <v>0</v>
      </c>
    </row>
    <row r="5" spans="1:14" x14ac:dyDescent="0.3">
      <c r="A5" t="s">
        <v>14</v>
      </c>
      <c r="B5" t="s">
        <v>15</v>
      </c>
      <c r="C5" t="s">
        <v>26</v>
      </c>
      <c r="D5" t="s">
        <v>27</v>
      </c>
      <c r="E5" t="s">
        <v>28</v>
      </c>
      <c r="F5" t="s">
        <v>221</v>
      </c>
      <c r="K5" s="2" t="s">
        <v>218</v>
      </c>
      <c r="L5">
        <v>0</v>
      </c>
    </row>
    <row r="6" spans="1:14" x14ac:dyDescent="0.3">
      <c r="A6" t="s">
        <v>14</v>
      </c>
      <c r="B6" t="s">
        <v>15</v>
      </c>
      <c r="C6" t="s">
        <v>29</v>
      </c>
      <c r="D6" t="s">
        <v>30</v>
      </c>
      <c r="E6" t="s">
        <v>31</v>
      </c>
      <c r="F6" t="s">
        <v>221</v>
      </c>
      <c r="K6" s="2" t="s">
        <v>218</v>
      </c>
      <c r="L6">
        <v>0</v>
      </c>
    </row>
    <row r="7" spans="1:14" x14ac:dyDescent="0.3">
      <c r="A7" t="s">
        <v>14</v>
      </c>
      <c r="B7" t="s">
        <v>15</v>
      </c>
      <c r="C7" t="s">
        <v>32</v>
      </c>
      <c r="D7" t="s">
        <v>33</v>
      </c>
      <c r="E7" t="s">
        <v>34</v>
      </c>
      <c r="F7" t="s">
        <v>221</v>
      </c>
      <c r="K7" s="2" t="s">
        <v>218</v>
      </c>
      <c r="L7">
        <v>0</v>
      </c>
    </row>
    <row r="8" spans="1:14" x14ac:dyDescent="0.3">
      <c r="A8" t="s">
        <v>14</v>
      </c>
      <c r="B8" t="s">
        <v>15</v>
      </c>
      <c r="C8" t="s">
        <v>35</v>
      </c>
      <c r="D8" t="s">
        <v>36</v>
      </c>
      <c r="E8" t="s">
        <v>37</v>
      </c>
      <c r="F8" t="s">
        <v>221</v>
      </c>
      <c r="K8" s="2" t="s">
        <v>218</v>
      </c>
      <c r="L8">
        <v>0</v>
      </c>
    </row>
    <row r="9" spans="1:14" x14ac:dyDescent="0.3">
      <c r="A9" t="s">
        <v>14</v>
      </c>
      <c r="B9" t="s">
        <v>15</v>
      </c>
      <c r="C9" t="s">
        <v>38</v>
      </c>
      <c r="D9" t="s">
        <v>39</v>
      </c>
      <c r="E9" t="s">
        <v>40</v>
      </c>
      <c r="F9" t="s">
        <v>221</v>
      </c>
      <c r="K9" s="2" t="s">
        <v>218</v>
      </c>
      <c r="L9">
        <v>0</v>
      </c>
    </row>
    <row r="10" spans="1:14" x14ac:dyDescent="0.3">
      <c r="A10" t="s">
        <v>14</v>
      </c>
      <c r="B10" t="s">
        <v>15</v>
      </c>
      <c r="C10" t="s">
        <v>41</v>
      </c>
      <c r="D10" t="s">
        <v>42</v>
      </c>
      <c r="E10" t="s">
        <v>43</v>
      </c>
      <c r="F10" t="s">
        <v>221</v>
      </c>
      <c r="K10" s="2" t="s">
        <v>218</v>
      </c>
      <c r="L10">
        <v>0</v>
      </c>
    </row>
    <row r="11" spans="1:14" x14ac:dyDescent="0.3">
      <c r="A11" t="s">
        <v>14</v>
      </c>
      <c r="B11" t="s">
        <v>15</v>
      </c>
      <c r="C11" t="s">
        <v>44</v>
      </c>
      <c r="D11" t="s">
        <v>45</v>
      </c>
      <c r="E11" t="s">
        <v>46</v>
      </c>
      <c r="F11" t="s">
        <v>221</v>
      </c>
      <c r="K11" s="2" t="s">
        <v>218</v>
      </c>
      <c r="L11">
        <v>0</v>
      </c>
    </row>
    <row r="12" spans="1:14" x14ac:dyDescent="0.3">
      <c r="A12" t="s">
        <v>14</v>
      </c>
      <c r="B12" t="s">
        <v>65</v>
      </c>
      <c r="C12" t="s">
        <v>66</v>
      </c>
      <c r="D12" t="s">
        <v>17</v>
      </c>
      <c r="E12" t="s">
        <v>67</v>
      </c>
      <c r="F12" t="s">
        <v>221</v>
      </c>
      <c r="K12" s="2" t="s">
        <v>218</v>
      </c>
      <c r="L12">
        <v>0</v>
      </c>
    </row>
    <row r="13" spans="1:14" x14ac:dyDescent="0.3">
      <c r="A13" t="s">
        <v>14</v>
      </c>
      <c r="B13" t="s">
        <v>65</v>
      </c>
      <c r="C13" t="s">
        <v>68</v>
      </c>
      <c r="D13" t="s">
        <v>69</v>
      </c>
      <c r="E13" t="s">
        <v>70</v>
      </c>
      <c r="F13" t="s">
        <v>221</v>
      </c>
      <c r="K13" s="2" t="s">
        <v>218</v>
      </c>
      <c r="L13">
        <v>0</v>
      </c>
    </row>
    <row r="14" spans="1:14" x14ac:dyDescent="0.3">
      <c r="A14" t="s">
        <v>14</v>
      </c>
      <c r="B14" t="s">
        <v>65</v>
      </c>
      <c r="C14" t="s">
        <v>71</v>
      </c>
      <c r="D14" t="s">
        <v>72</v>
      </c>
      <c r="E14" t="s">
        <v>73</v>
      </c>
      <c r="F14" t="s">
        <v>221</v>
      </c>
      <c r="K14" s="2" t="s">
        <v>218</v>
      </c>
      <c r="L14">
        <v>0</v>
      </c>
    </row>
    <row r="15" spans="1:14" x14ac:dyDescent="0.3">
      <c r="A15" t="s">
        <v>14</v>
      </c>
      <c r="B15" t="s">
        <v>65</v>
      </c>
      <c r="C15" t="s">
        <v>74</v>
      </c>
      <c r="D15" t="s">
        <v>75</v>
      </c>
      <c r="E15" t="s">
        <v>76</v>
      </c>
      <c r="F15" t="s">
        <v>221</v>
      </c>
      <c r="K15" s="2" t="s">
        <v>218</v>
      </c>
      <c r="L15">
        <v>0</v>
      </c>
    </row>
    <row r="16" spans="1:14" x14ac:dyDescent="0.3">
      <c r="A16" t="s">
        <v>14</v>
      </c>
      <c r="B16" t="s">
        <v>65</v>
      </c>
      <c r="C16" t="s">
        <v>77</v>
      </c>
      <c r="D16" t="s">
        <v>30</v>
      </c>
      <c r="E16" t="s">
        <v>78</v>
      </c>
      <c r="F16" t="s">
        <v>221</v>
      </c>
      <c r="K16" s="2" t="s">
        <v>218</v>
      </c>
      <c r="L16">
        <v>0</v>
      </c>
    </row>
    <row r="17" spans="1:12" x14ac:dyDescent="0.3">
      <c r="A17" t="s">
        <v>14</v>
      </c>
      <c r="B17" t="s">
        <v>65</v>
      </c>
      <c r="C17" t="s">
        <v>79</v>
      </c>
      <c r="D17" t="s">
        <v>59</v>
      </c>
      <c r="E17" t="s">
        <v>80</v>
      </c>
      <c r="F17" t="s">
        <v>221</v>
      </c>
      <c r="K17" s="2" t="s">
        <v>218</v>
      </c>
      <c r="L17">
        <v>0</v>
      </c>
    </row>
    <row r="18" spans="1:12" x14ac:dyDescent="0.3">
      <c r="A18" t="s">
        <v>14</v>
      </c>
      <c r="B18" t="s">
        <v>65</v>
      </c>
      <c r="C18" t="s">
        <v>81</v>
      </c>
      <c r="D18" t="s">
        <v>42</v>
      </c>
      <c r="E18" t="s">
        <v>82</v>
      </c>
      <c r="F18" t="s">
        <v>221</v>
      </c>
      <c r="K18" s="2" t="s">
        <v>218</v>
      </c>
      <c r="L18">
        <v>0</v>
      </c>
    </row>
    <row r="19" spans="1:12" x14ac:dyDescent="0.3">
      <c r="A19" t="s">
        <v>14</v>
      </c>
      <c r="B19" t="s">
        <v>65</v>
      </c>
      <c r="C19" t="s">
        <v>83</v>
      </c>
      <c r="D19" t="s">
        <v>45</v>
      </c>
      <c r="E19" t="s">
        <v>64</v>
      </c>
      <c r="F19" t="s">
        <v>221</v>
      </c>
      <c r="K19" s="2" t="s">
        <v>218</v>
      </c>
      <c r="L19">
        <v>0</v>
      </c>
    </row>
    <row r="20" spans="1:12" x14ac:dyDescent="0.3">
      <c r="A20" t="s">
        <v>14</v>
      </c>
      <c r="B20" t="s">
        <v>84</v>
      </c>
      <c r="C20" t="s">
        <v>85</v>
      </c>
      <c r="D20" t="s">
        <v>17</v>
      </c>
      <c r="E20" t="s">
        <v>86</v>
      </c>
      <c r="F20" t="s">
        <v>221</v>
      </c>
      <c r="K20" s="2" t="s">
        <v>218</v>
      </c>
      <c r="L20">
        <v>0</v>
      </c>
    </row>
    <row r="21" spans="1:12" x14ac:dyDescent="0.3">
      <c r="A21" t="s">
        <v>14</v>
      </c>
      <c r="B21" t="s">
        <v>84</v>
      </c>
      <c r="C21" t="s">
        <v>87</v>
      </c>
      <c r="D21" t="s">
        <v>88</v>
      </c>
      <c r="E21" t="s">
        <v>89</v>
      </c>
      <c r="F21" t="s">
        <v>221</v>
      </c>
      <c r="K21" s="2" t="s">
        <v>218</v>
      </c>
      <c r="L21">
        <v>0</v>
      </c>
    </row>
    <row r="22" spans="1:12" x14ac:dyDescent="0.3">
      <c r="A22" t="s">
        <v>14</v>
      </c>
      <c r="B22" t="s">
        <v>84</v>
      </c>
      <c r="C22" t="s">
        <v>90</v>
      </c>
      <c r="D22" t="s">
        <v>91</v>
      </c>
      <c r="E22" t="s">
        <v>92</v>
      </c>
      <c r="F22" t="s">
        <v>221</v>
      </c>
      <c r="K22" s="2" t="s">
        <v>218</v>
      </c>
      <c r="L22">
        <v>0</v>
      </c>
    </row>
    <row r="23" spans="1:12" x14ac:dyDescent="0.3">
      <c r="A23" t="s">
        <v>14</v>
      </c>
      <c r="B23" t="s">
        <v>84</v>
      </c>
      <c r="C23" t="s">
        <v>93</v>
      </c>
      <c r="D23" t="s">
        <v>30</v>
      </c>
      <c r="E23" t="s">
        <v>94</v>
      </c>
      <c r="F23" t="s">
        <v>221</v>
      </c>
      <c r="K23" s="2" t="s">
        <v>218</v>
      </c>
      <c r="L23">
        <v>0</v>
      </c>
    </row>
    <row r="24" spans="1:12" x14ac:dyDescent="0.3">
      <c r="A24" t="s">
        <v>14</v>
      </c>
      <c r="B24" t="s">
        <v>84</v>
      </c>
      <c r="C24" t="s">
        <v>95</v>
      </c>
      <c r="D24" t="s">
        <v>59</v>
      </c>
      <c r="E24" t="s">
        <v>96</v>
      </c>
      <c r="F24" t="s">
        <v>221</v>
      </c>
      <c r="K24" s="2" t="s">
        <v>218</v>
      </c>
      <c r="L24">
        <v>0</v>
      </c>
    </row>
    <row r="25" spans="1:12" x14ac:dyDescent="0.3">
      <c r="A25" t="s">
        <v>14</v>
      </c>
      <c r="B25" t="s">
        <v>84</v>
      </c>
      <c r="C25" t="s">
        <v>97</v>
      </c>
      <c r="D25" t="s">
        <v>42</v>
      </c>
      <c r="E25" t="s">
        <v>98</v>
      </c>
      <c r="F25" t="s">
        <v>221</v>
      </c>
      <c r="K25" s="2" t="s">
        <v>218</v>
      </c>
      <c r="L25">
        <v>0</v>
      </c>
    </row>
    <row r="26" spans="1:12" x14ac:dyDescent="0.3">
      <c r="A26" t="s">
        <v>14</v>
      </c>
      <c r="B26" t="s">
        <v>84</v>
      </c>
      <c r="C26" t="s">
        <v>99</v>
      </c>
      <c r="D26" t="s">
        <v>45</v>
      </c>
      <c r="E26" t="s">
        <v>100</v>
      </c>
      <c r="F26" t="s">
        <v>221</v>
      </c>
      <c r="K26" s="2" t="s">
        <v>218</v>
      </c>
      <c r="L26">
        <v>0</v>
      </c>
    </row>
    <row r="27" spans="1:12" x14ac:dyDescent="0.3">
      <c r="A27" t="s">
        <v>101</v>
      </c>
      <c r="B27" t="s">
        <v>102</v>
      </c>
      <c r="C27" t="s">
        <v>103</v>
      </c>
      <c r="D27" t="s">
        <v>17</v>
      </c>
      <c r="E27" t="s">
        <v>104</v>
      </c>
      <c r="F27" t="s">
        <v>221</v>
      </c>
      <c r="K27" s="2" t="s">
        <v>218</v>
      </c>
      <c r="L27">
        <v>0</v>
      </c>
    </row>
    <row r="28" spans="1:12" x14ac:dyDescent="0.3">
      <c r="A28" t="s">
        <v>101</v>
      </c>
      <c r="B28" t="s">
        <v>102</v>
      </c>
      <c r="C28" t="s">
        <v>105</v>
      </c>
      <c r="D28" t="s">
        <v>106</v>
      </c>
      <c r="E28" t="s">
        <v>107</v>
      </c>
      <c r="F28" t="s">
        <v>221</v>
      </c>
      <c r="K28" s="2" t="s">
        <v>218</v>
      </c>
      <c r="L28">
        <v>0</v>
      </c>
    </row>
    <row r="29" spans="1:12" x14ac:dyDescent="0.3">
      <c r="A29" t="s">
        <v>101</v>
      </c>
      <c r="B29" t="s">
        <v>102</v>
      </c>
      <c r="C29" t="s">
        <v>108</v>
      </c>
      <c r="D29" t="s">
        <v>109</v>
      </c>
      <c r="E29" t="s">
        <v>110</v>
      </c>
      <c r="F29" t="s">
        <v>221</v>
      </c>
      <c r="K29" s="2" t="s">
        <v>218</v>
      </c>
      <c r="L29">
        <v>0</v>
      </c>
    </row>
    <row r="30" spans="1:12" x14ac:dyDescent="0.3">
      <c r="A30" t="s">
        <v>101</v>
      </c>
      <c r="B30" t="s">
        <v>102</v>
      </c>
      <c r="C30" t="s">
        <v>111</v>
      </c>
      <c r="D30" t="s">
        <v>112</v>
      </c>
      <c r="E30" t="s">
        <v>113</v>
      </c>
      <c r="F30" t="s">
        <v>221</v>
      </c>
      <c r="K30" s="2" t="s">
        <v>218</v>
      </c>
      <c r="L30">
        <v>0</v>
      </c>
    </row>
    <row r="31" spans="1:12" x14ac:dyDescent="0.3">
      <c r="A31" t="s">
        <v>101</v>
      </c>
      <c r="B31" t="s">
        <v>102</v>
      </c>
      <c r="C31" t="s">
        <v>114</v>
      </c>
      <c r="D31" t="s">
        <v>115</v>
      </c>
      <c r="E31" t="s">
        <v>116</v>
      </c>
      <c r="F31" t="s">
        <v>221</v>
      </c>
      <c r="K31" s="2" t="s">
        <v>218</v>
      </c>
      <c r="L31">
        <v>0</v>
      </c>
    </row>
    <row r="32" spans="1:12" x14ac:dyDescent="0.3">
      <c r="A32" t="s">
        <v>101</v>
      </c>
      <c r="B32" t="s">
        <v>102</v>
      </c>
      <c r="C32" t="s">
        <v>117</v>
      </c>
      <c r="D32" t="s">
        <v>59</v>
      </c>
      <c r="E32" t="s">
        <v>118</v>
      </c>
      <c r="F32" t="s">
        <v>221</v>
      </c>
      <c r="K32" s="2" t="s">
        <v>218</v>
      </c>
      <c r="L32">
        <v>0</v>
      </c>
    </row>
    <row r="33" spans="1:12" x14ac:dyDescent="0.3">
      <c r="A33" t="s">
        <v>101</v>
      </c>
      <c r="B33" t="s">
        <v>102</v>
      </c>
      <c r="C33" t="s">
        <v>119</v>
      </c>
      <c r="D33" t="s">
        <v>42</v>
      </c>
      <c r="E33" t="s">
        <v>120</v>
      </c>
      <c r="F33" t="s">
        <v>221</v>
      </c>
      <c r="K33" s="2" t="s">
        <v>218</v>
      </c>
      <c r="L33">
        <v>0</v>
      </c>
    </row>
    <row r="34" spans="1:12" x14ac:dyDescent="0.3">
      <c r="A34" t="s">
        <v>101</v>
      </c>
      <c r="B34" t="s">
        <v>102</v>
      </c>
      <c r="C34" t="s">
        <v>121</v>
      </c>
      <c r="D34" t="s">
        <v>45</v>
      </c>
      <c r="E34" t="s">
        <v>122</v>
      </c>
      <c r="F34" t="s">
        <v>221</v>
      </c>
      <c r="K34" s="2" t="s">
        <v>218</v>
      </c>
      <c r="L34">
        <v>0</v>
      </c>
    </row>
    <row r="35" spans="1:12" x14ac:dyDescent="0.3">
      <c r="A35" t="s">
        <v>101</v>
      </c>
      <c r="B35" t="s">
        <v>123</v>
      </c>
      <c r="C35" t="s">
        <v>124</v>
      </c>
      <c r="D35" t="s">
        <v>17</v>
      </c>
      <c r="E35" t="s">
        <v>125</v>
      </c>
      <c r="F35" t="s">
        <v>221</v>
      </c>
      <c r="K35" s="2" t="s">
        <v>218</v>
      </c>
      <c r="L35">
        <v>0</v>
      </c>
    </row>
    <row r="36" spans="1:12" x14ac:dyDescent="0.3">
      <c r="A36" t="s">
        <v>101</v>
      </c>
      <c r="B36" t="s">
        <v>123</v>
      </c>
      <c r="C36" t="s">
        <v>126</v>
      </c>
      <c r="D36" t="s">
        <v>127</v>
      </c>
      <c r="E36" t="s">
        <v>128</v>
      </c>
      <c r="F36" t="s">
        <v>221</v>
      </c>
      <c r="K36" s="2" t="s">
        <v>218</v>
      </c>
      <c r="L36">
        <v>0</v>
      </c>
    </row>
    <row r="37" spans="1:12" x14ac:dyDescent="0.3">
      <c r="A37" t="s">
        <v>101</v>
      </c>
      <c r="B37" t="s">
        <v>123</v>
      </c>
      <c r="C37" t="s">
        <v>129</v>
      </c>
      <c r="D37" t="s">
        <v>115</v>
      </c>
      <c r="E37" t="s">
        <v>130</v>
      </c>
      <c r="F37" t="s">
        <v>221</v>
      </c>
      <c r="K37" s="2" t="s">
        <v>218</v>
      </c>
      <c r="L37">
        <v>0</v>
      </c>
    </row>
    <row r="38" spans="1:12" x14ac:dyDescent="0.3">
      <c r="A38" t="s">
        <v>101</v>
      </c>
      <c r="B38" t="s">
        <v>123</v>
      </c>
      <c r="C38" t="s">
        <v>131</v>
      </c>
      <c r="D38" t="s">
        <v>59</v>
      </c>
      <c r="E38" t="s">
        <v>132</v>
      </c>
      <c r="F38" t="s">
        <v>221</v>
      </c>
      <c r="K38" s="2" t="s">
        <v>218</v>
      </c>
      <c r="L38">
        <v>0</v>
      </c>
    </row>
    <row r="39" spans="1:12" x14ac:dyDescent="0.3">
      <c r="A39" t="s">
        <v>101</v>
      </c>
      <c r="B39" t="s">
        <v>123</v>
      </c>
      <c r="C39" t="s">
        <v>133</v>
      </c>
      <c r="D39" t="s">
        <v>42</v>
      </c>
      <c r="E39" t="s">
        <v>134</v>
      </c>
      <c r="F39" t="s">
        <v>221</v>
      </c>
      <c r="K39" s="2" t="s">
        <v>218</v>
      </c>
      <c r="L39">
        <v>0</v>
      </c>
    </row>
    <row r="40" spans="1:12" x14ac:dyDescent="0.3">
      <c r="A40" t="s">
        <v>101</v>
      </c>
      <c r="B40" t="s">
        <v>123</v>
      </c>
      <c r="C40" t="s">
        <v>135</v>
      </c>
      <c r="D40" t="s">
        <v>45</v>
      </c>
      <c r="E40" t="s">
        <v>122</v>
      </c>
      <c r="F40" t="s">
        <v>221</v>
      </c>
      <c r="K40" s="2" t="s">
        <v>218</v>
      </c>
      <c r="L40">
        <v>0</v>
      </c>
    </row>
    <row r="41" spans="1:12" x14ac:dyDescent="0.3">
      <c r="A41" t="s">
        <v>101</v>
      </c>
      <c r="B41" t="s">
        <v>136</v>
      </c>
      <c r="C41" t="s">
        <v>137</v>
      </c>
      <c r="D41" t="s">
        <v>17</v>
      </c>
      <c r="E41" t="s">
        <v>138</v>
      </c>
      <c r="F41" t="s">
        <v>221</v>
      </c>
      <c r="K41" s="2" t="s">
        <v>218</v>
      </c>
      <c r="L41">
        <v>0</v>
      </c>
    </row>
    <row r="42" spans="1:12" x14ac:dyDescent="0.3">
      <c r="A42" t="s">
        <v>101</v>
      </c>
      <c r="B42" t="s">
        <v>136</v>
      </c>
      <c r="C42" t="s">
        <v>139</v>
      </c>
      <c r="D42" t="s">
        <v>140</v>
      </c>
      <c r="E42" t="s">
        <v>141</v>
      </c>
      <c r="F42" t="s">
        <v>221</v>
      </c>
      <c r="K42" s="2" t="s">
        <v>218</v>
      </c>
      <c r="L42">
        <v>0</v>
      </c>
    </row>
    <row r="43" spans="1:12" x14ac:dyDescent="0.3">
      <c r="A43" t="s">
        <v>101</v>
      </c>
      <c r="B43" t="s">
        <v>136</v>
      </c>
      <c r="C43" t="s">
        <v>142</v>
      </c>
      <c r="D43" t="s">
        <v>143</v>
      </c>
      <c r="E43" t="s">
        <v>144</v>
      </c>
      <c r="F43" t="s">
        <v>221</v>
      </c>
      <c r="K43" s="2" t="s">
        <v>218</v>
      </c>
      <c r="L43">
        <v>0</v>
      </c>
    </row>
    <row r="44" spans="1:12" x14ac:dyDescent="0.3">
      <c r="A44" t="s">
        <v>101</v>
      </c>
      <c r="B44" t="s">
        <v>136</v>
      </c>
      <c r="C44" t="s">
        <v>145</v>
      </c>
      <c r="D44" t="s">
        <v>30</v>
      </c>
      <c r="E44" t="s">
        <v>94</v>
      </c>
      <c r="F44" t="s">
        <v>221</v>
      </c>
      <c r="K44" s="2" t="s">
        <v>218</v>
      </c>
      <c r="L44">
        <v>0</v>
      </c>
    </row>
    <row r="45" spans="1:12" x14ac:dyDescent="0.3">
      <c r="A45" t="s">
        <v>101</v>
      </c>
      <c r="B45" t="s">
        <v>136</v>
      </c>
      <c r="C45" t="s">
        <v>146</v>
      </c>
      <c r="D45" t="s">
        <v>59</v>
      </c>
      <c r="E45" t="s">
        <v>147</v>
      </c>
      <c r="F45" t="s">
        <v>221</v>
      </c>
      <c r="K45" s="2" t="s">
        <v>218</v>
      </c>
      <c r="L45">
        <v>0</v>
      </c>
    </row>
    <row r="46" spans="1:12" x14ac:dyDescent="0.3">
      <c r="A46" t="s">
        <v>101</v>
      </c>
      <c r="B46" t="s">
        <v>136</v>
      </c>
      <c r="C46" t="s">
        <v>148</v>
      </c>
      <c r="D46" t="s">
        <v>42</v>
      </c>
      <c r="E46" t="s">
        <v>149</v>
      </c>
      <c r="F46" t="s">
        <v>221</v>
      </c>
      <c r="K46" s="2" t="s">
        <v>218</v>
      </c>
      <c r="L46">
        <v>0</v>
      </c>
    </row>
    <row r="47" spans="1:12" x14ac:dyDescent="0.3">
      <c r="A47" t="s">
        <v>101</v>
      </c>
      <c r="B47" t="s">
        <v>136</v>
      </c>
      <c r="C47" t="s">
        <v>150</v>
      </c>
      <c r="D47" t="s">
        <v>45</v>
      </c>
      <c r="E47" t="s">
        <v>151</v>
      </c>
      <c r="F47" t="s">
        <v>221</v>
      </c>
      <c r="K47" s="2" t="s">
        <v>218</v>
      </c>
      <c r="L47">
        <v>0</v>
      </c>
    </row>
    <row r="48" spans="1:12" x14ac:dyDescent="0.3">
      <c r="A48" t="s">
        <v>101</v>
      </c>
      <c r="B48" t="s">
        <v>152</v>
      </c>
      <c r="C48" t="s">
        <v>153</v>
      </c>
      <c r="D48" t="s">
        <v>17</v>
      </c>
      <c r="E48" t="s">
        <v>154</v>
      </c>
      <c r="F48" t="s">
        <v>221</v>
      </c>
      <c r="K48" s="2" t="s">
        <v>218</v>
      </c>
      <c r="L48">
        <v>0</v>
      </c>
    </row>
    <row r="49" spans="1:12" x14ac:dyDescent="0.3">
      <c r="A49" t="s">
        <v>101</v>
      </c>
      <c r="B49" t="s">
        <v>152</v>
      </c>
      <c r="C49" t="s">
        <v>155</v>
      </c>
      <c r="D49" t="s">
        <v>156</v>
      </c>
      <c r="E49" t="s">
        <v>157</v>
      </c>
      <c r="F49" t="s">
        <v>221</v>
      </c>
      <c r="K49" s="2" t="s">
        <v>218</v>
      </c>
      <c r="L49">
        <v>0</v>
      </c>
    </row>
    <row r="50" spans="1:12" x14ac:dyDescent="0.3">
      <c r="A50" t="s">
        <v>101</v>
      </c>
      <c r="B50" t="s">
        <v>152</v>
      </c>
      <c r="C50" t="s">
        <v>158</v>
      </c>
      <c r="D50" t="s">
        <v>30</v>
      </c>
      <c r="E50" t="s">
        <v>159</v>
      </c>
      <c r="F50" t="s">
        <v>221</v>
      </c>
      <c r="K50" s="2" t="s">
        <v>218</v>
      </c>
      <c r="L50">
        <v>0</v>
      </c>
    </row>
    <row r="51" spans="1:12" x14ac:dyDescent="0.3">
      <c r="A51" t="s">
        <v>101</v>
      </c>
      <c r="B51" t="s">
        <v>152</v>
      </c>
      <c r="C51" t="s">
        <v>160</v>
      </c>
      <c r="D51" t="s">
        <v>59</v>
      </c>
      <c r="E51" t="s">
        <v>161</v>
      </c>
      <c r="F51" t="s">
        <v>221</v>
      </c>
      <c r="K51" s="2" t="s">
        <v>218</v>
      </c>
      <c r="L51">
        <v>0</v>
      </c>
    </row>
    <row r="52" spans="1:12" x14ac:dyDescent="0.3">
      <c r="A52" t="s">
        <v>101</v>
      </c>
      <c r="B52" t="s">
        <v>152</v>
      </c>
      <c r="C52" t="s">
        <v>162</v>
      </c>
      <c r="D52" t="s">
        <v>42</v>
      </c>
      <c r="E52" t="s">
        <v>163</v>
      </c>
      <c r="F52" t="s">
        <v>221</v>
      </c>
      <c r="K52" s="2" t="s">
        <v>218</v>
      </c>
      <c r="L52">
        <v>0</v>
      </c>
    </row>
    <row r="53" spans="1:12" x14ac:dyDescent="0.3">
      <c r="A53" t="s">
        <v>101</v>
      </c>
      <c r="B53" t="s">
        <v>152</v>
      </c>
      <c r="C53" t="s">
        <v>164</v>
      </c>
      <c r="D53" t="s">
        <v>45</v>
      </c>
      <c r="E53" t="s">
        <v>165</v>
      </c>
      <c r="F53" t="s">
        <v>221</v>
      </c>
      <c r="K53" s="2" t="s">
        <v>218</v>
      </c>
      <c r="L53">
        <v>0</v>
      </c>
    </row>
    <row r="54" spans="1:12" x14ac:dyDescent="0.3">
      <c r="A54" t="s">
        <v>166</v>
      </c>
      <c r="B54" t="s">
        <v>167</v>
      </c>
      <c r="C54" t="s">
        <v>168</v>
      </c>
      <c r="D54" t="s">
        <v>17</v>
      </c>
      <c r="E54" t="s">
        <v>169</v>
      </c>
      <c r="F54" t="s">
        <v>221</v>
      </c>
      <c r="K54" s="2" t="s">
        <v>218</v>
      </c>
      <c r="L54">
        <v>0</v>
      </c>
    </row>
    <row r="55" spans="1:12" x14ac:dyDescent="0.3">
      <c r="A55" t="s">
        <v>166</v>
      </c>
      <c r="B55" t="s">
        <v>167</v>
      </c>
      <c r="C55" t="s">
        <v>170</v>
      </c>
      <c r="D55" t="s">
        <v>171</v>
      </c>
      <c r="E55" t="s">
        <v>172</v>
      </c>
      <c r="F55" t="s">
        <v>221</v>
      </c>
      <c r="K55" s="2" t="s">
        <v>218</v>
      </c>
      <c r="L55">
        <v>0</v>
      </c>
    </row>
    <row r="56" spans="1:12" x14ac:dyDescent="0.3">
      <c r="A56" t="s">
        <v>166</v>
      </c>
      <c r="B56" t="s">
        <v>167</v>
      </c>
      <c r="C56" t="s">
        <v>173</v>
      </c>
      <c r="D56" t="s">
        <v>174</v>
      </c>
      <c r="E56" t="s">
        <v>175</v>
      </c>
      <c r="F56" t="s">
        <v>221</v>
      </c>
      <c r="K56" s="2" t="s">
        <v>218</v>
      </c>
      <c r="L56">
        <v>0</v>
      </c>
    </row>
    <row r="57" spans="1:12" x14ac:dyDescent="0.3">
      <c r="A57" t="s">
        <v>166</v>
      </c>
      <c r="B57" t="s">
        <v>167</v>
      </c>
      <c r="C57" t="s">
        <v>176</v>
      </c>
      <c r="D57" t="s">
        <v>177</v>
      </c>
      <c r="E57" t="s">
        <v>178</v>
      </c>
      <c r="F57" t="s">
        <v>221</v>
      </c>
      <c r="K57" s="2" t="s">
        <v>218</v>
      </c>
      <c r="L57">
        <v>0</v>
      </c>
    </row>
    <row r="58" spans="1:12" x14ac:dyDescent="0.3">
      <c r="A58" t="s">
        <v>166</v>
      </c>
      <c r="B58" t="s">
        <v>167</v>
      </c>
      <c r="C58" t="s">
        <v>179</v>
      </c>
      <c r="D58" t="s">
        <v>30</v>
      </c>
      <c r="E58" t="s">
        <v>180</v>
      </c>
      <c r="F58" t="s">
        <v>221</v>
      </c>
      <c r="K58" s="2" t="s">
        <v>218</v>
      </c>
      <c r="L58">
        <v>0</v>
      </c>
    </row>
    <row r="59" spans="1:12" x14ac:dyDescent="0.3">
      <c r="A59" t="s">
        <v>166</v>
      </c>
      <c r="B59" t="s">
        <v>167</v>
      </c>
      <c r="C59" t="s">
        <v>181</v>
      </c>
      <c r="D59" t="s">
        <v>59</v>
      </c>
      <c r="E59" t="s">
        <v>182</v>
      </c>
      <c r="F59" t="s">
        <v>221</v>
      </c>
      <c r="K59" s="2" t="s">
        <v>218</v>
      </c>
      <c r="L59">
        <v>0</v>
      </c>
    </row>
    <row r="60" spans="1:12" x14ac:dyDescent="0.3">
      <c r="A60" t="s">
        <v>166</v>
      </c>
      <c r="B60" t="s">
        <v>167</v>
      </c>
      <c r="C60" t="s">
        <v>183</v>
      </c>
      <c r="D60" t="s">
        <v>42</v>
      </c>
      <c r="E60" t="s">
        <v>184</v>
      </c>
      <c r="F60" t="s">
        <v>221</v>
      </c>
      <c r="K60" s="2" t="s">
        <v>218</v>
      </c>
      <c r="L60">
        <v>0</v>
      </c>
    </row>
    <row r="61" spans="1:12" x14ac:dyDescent="0.3">
      <c r="A61" t="s">
        <v>166</v>
      </c>
      <c r="B61" t="s">
        <v>167</v>
      </c>
      <c r="C61" t="s">
        <v>185</v>
      </c>
      <c r="D61" t="s">
        <v>45</v>
      </c>
      <c r="E61" t="s">
        <v>165</v>
      </c>
      <c r="F61" t="s">
        <v>221</v>
      </c>
      <c r="K61" s="2" t="s">
        <v>218</v>
      </c>
      <c r="L61">
        <v>0</v>
      </c>
    </row>
    <row r="62" spans="1:12" x14ac:dyDescent="0.3">
      <c r="A62" t="s">
        <v>166</v>
      </c>
      <c r="B62" t="s">
        <v>186</v>
      </c>
      <c r="C62" t="s">
        <v>187</v>
      </c>
      <c r="D62" t="s">
        <v>17</v>
      </c>
      <c r="E62" t="s">
        <v>188</v>
      </c>
      <c r="F62" t="s">
        <v>221</v>
      </c>
      <c r="K62" s="2" t="s">
        <v>218</v>
      </c>
      <c r="L62">
        <v>0</v>
      </c>
    </row>
    <row r="63" spans="1:12" x14ac:dyDescent="0.3">
      <c r="A63" t="s">
        <v>166</v>
      </c>
      <c r="B63" t="s">
        <v>186</v>
      </c>
      <c r="C63" t="s">
        <v>189</v>
      </c>
      <c r="D63" t="s">
        <v>190</v>
      </c>
      <c r="E63" t="s">
        <v>191</v>
      </c>
      <c r="F63" t="s">
        <v>221</v>
      </c>
      <c r="K63" s="2" t="s">
        <v>218</v>
      </c>
      <c r="L63">
        <v>0</v>
      </c>
    </row>
    <row r="64" spans="1:12" x14ac:dyDescent="0.3">
      <c r="A64" t="s">
        <v>166</v>
      </c>
      <c r="B64" t="s">
        <v>186</v>
      </c>
      <c r="C64" t="s">
        <v>192</v>
      </c>
      <c r="D64" t="s">
        <v>193</v>
      </c>
      <c r="E64" t="s">
        <v>194</v>
      </c>
      <c r="F64" t="s">
        <v>221</v>
      </c>
      <c r="K64" s="2" t="s">
        <v>218</v>
      </c>
      <c r="L64">
        <v>0</v>
      </c>
    </row>
    <row r="65" spans="1:12" x14ac:dyDescent="0.3">
      <c r="A65" t="s">
        <v>166</v>
      </c>
      <c r="B65" t="s">
        <v>186</v>
      </c>
      <c r="C65" t="s">
        <v>195</v>
      </c>
      <c r="D65" t="s">
        <v>30</v>
      </c>
      <c r="E65" t="s">
        <v>180</v>
      </c>
      <c r="F65" t="s">
        <v>221</v>
      </c>
      <c r="K65" s="2" t="s">
        <v>218</v>
      </c>
      <c r="L65">
        <v>0</v>
      </c>
    </row>
    <row r="66" spans="1:12" x14ac:dyDescent="0.3">
      <c r="A66" t="s">
        <v>166</v>
      </c>
      <c r="B66" t="s">
        <v>186</v>
      </c>
      <c r="C66" t="s">
        <v>196</v>
      </c>
      <c r="D66" t="s">
        <v>59</v>
      </c>
      <c r="E66" t="s">
        <v>197</v>
      </c>
      <c r="F66" t="s">
        <v>221</v>
      </c>
      <c r="K66" s="2" t="s">
        <v>218</v>
      </c>
      <c r="L66">
        <v>0</v>
      </c>
    </row>
    <row r="67" spans="1:12" x14ac:dyDescent="0.3">
      <c r="A67" t="s">
        <v>166</v>
      </c>
      <c r="B67" t="s">
        <v>186</v>
      </c>
      <c r="C67" t="s">
        <v>198</v>
      </c>
      <c r="D67" t="s">
        <v>42</v>
      </c>
      <c r="E67" t="s">
        <v>199</v>
      </c>
      <c r="F67" t="s">
        <v>221</v>
      </c>
      <c r="K67" s="2" t="s">
        <v>218</v>
      </c>
      <c r="L67">
        <v>0</v>
      </c>
    </row>
    <row r="68" spans="1:12" x14ac:dyDescent="0.3">
      <c r="A68" t="s">
        <v>166</v>
      </c>
      <c r="B68" t="s">
        <v>186</v>
      </c>
      <c r="C68" t="s">
        <v>200</v>
      </c>
      <c r="D68" t="s">
        <v>45</v>
      </c>
      <c r="E68" t="s">
        <v>151</v>
      </c>
      <c r="F68" t="s">
        <v>221</v>
      </c>
      <c r="K68" s="2" t="s">
        <v>218</v>
      </c>
      <c r="L68">
        <v>0</v>
      </c>
    </row>
    <row r="69" spans="1:12" x14ac:dyDescent="0.3">
      <c r="A69" t="s">
        <v>166</v>
      </c>
      <c r="B69" t="s">
        <v>201</v>
      </c>
      <c r="C69" t="s">
        <v>202</v>
      </c>
      <c r="D69" t="s">
        <v>17</v>
      </c>
      <c r="E69" t="s">
        <v>203</v>
      </c>
      <c r="F69" t="s">
        <v>221</v>
      </c>
      <c r="K69" t="s">
        <v>19</v>
      </c>
      <c r="L69">
        <v>0</v>
      </c>
    </row>
    <row r="70" spans="1:12" x14ac:dyDescent="0.3">
      <c r="A70" t="s">
        <v>166</v>
      </c>
      <c r="B70" t="s">
        <v>201</v>
      </c>
      <c r="C70" t="s">
        <v>204</v>
      </c>
      <c r="D70" t="s">
        <v>205</v>
      </c>
      <c r="E70" t="s">
        <v>206</v>
      </c>
      <c r="F70" t="s">
        <v>221</v>
      </c>
      <c r="K70" t="s">
        <v>19</v>
      </c>
      <c r="L70">
        <v>0</v>
      </c>
    </row>
    <row r="71" spans="1:12" x14ac:dyDescent="0.3">
      <c r="A71" t="s">
        <v>166</v>
      </c>
      <c r="B71" t="s">
        <v>201</v>
      </c>
      <c r="C71" t="s">
        <v>207</v>
      </c>
      <c r="D71" t="s">
        <v>208</v>
      </c>
      <c r="E71" t="s">
        <v>209</v>
      </c>
      <c r="F71" t="s">
        <v>221</v>
      </c>
      <c r="K71" t="s">
        <v>19</v>
      </c>
      <c r="L71">
        <v>0</v>
      </c>
    </row>
    <row r="72" spans="1:12" x14ac:dyDescent="0.3">
      <c r="A72" t="s">
        <v>166</v>
      </c>
      <c r="B72" t="s">
        <v>201</v>
      </c>
      <c r="C72" t="s">
        <v>210</v>
      </c>
      <c r="D72" t="s">
        <v>30</v>
      </c>
      <c r="E72" t="s">
        <v>94</v>
      </c>
      <c r="F72" t="s">
        <v>221</v>
      </c>
      <c r="K72" t="s">
        <v>19</v>
      </c>
      <c r="L72">
        <v>0</v>
      </c>
    </row>
    <row r="73" spans="1:12" x14ac:dyDescent="0.3">
      <c r="A73" t="s">
        <v>166</v>
      </c>
      <c r="B73" t="s">
        <v>201</v>
      </c>
      <c r="C73" t="s">
        <v>211</v>
      </c>
      <c r="D73" t="s">
        <v>59</v>
      </c>
      <c r="E73" t="s">
        <v>212</v>
      </c>
      <c r="F73" t="s">
        <v>221</v>
      </c>
      <c r="K73" t="s">
        <v>19</v>
      </c>
      <c r="L73">
        <v>0</v>
      </c>
    </row>
    <row r="74" spans="1:12" x14ac:dyDescent="0.3">
      <c r="A74" t="s">
        <v>166</v>
      </c>
      <c r="B74" t="s">
        <v>201</v>
      </c>
      <c r="C74" t="s">
        <v>213</v>
      </c>
      <c r="D74" t="s">
        <v>42</v>
      </c>
      <c r="E74" t="s">
        <v>214</v>
      </c>
      <c r="F74" t="s">
        <v>221</v>
      </c>
      <c r="K74" t="s">
        <v>19</v>
      </c>
      <c r="L74">
        <v>0</v>
      </c>
    </row>
    <row r="75" spans="1:12" x14ac:dyDescent="0.3">
      <c r="A75" t="s">
        <v>166</v>
      </c>
      <c r="B75" t="s">
        <v>201</v>
      </c>
      <c r="C75" t="s">
        <v>215</v>
      </c>
      <c r="D75" t="s">
        <v>45</v>
      </c>
      <c r="E75" t="s">
        <v>151</v>
      </c>
      <c r="F75" t="s">
        <v>221</v>
      </c>
      <c r="K75" t="s">
        <v>19</v>
      </c>
      <c r="L75">
        <v>0</v>
      </c>
    </row>
    <row r="76" spans="1:12" x14ac:dyDescent="0.3">
      <c r="A76" t="s">
        <v>14</v>
      </c>
      <c r="B76" t="s">
        <v>47</v>
      </c>
      <c r="C76" t="s">
        <v>48</v>
      </c>
      <c r="D76" t="s">
        <v>17</v>
      </c>
      <c r="E76" t="s">
        <v>49</v>
      </c>
      <c r="F76" t="s">
        <v>221</v>
      </c>
      <c r="K76" t="s">
        <v>19</v>
      </c>
      <c r="L76">
        <v>0</v>
      </c>
    </row>
    <row r="77" spans="1:12" x14ac:dyDescent="0.3">
      <c r="A77" t="s">
        <v>14</v>
      </c>
      <c r="B77" t="s">
        <v>47</v>
      </c>
      <c r="C77" t="s">
        <v>50</v>
      </c>
      <c r="D77" t="s">
        <v>51</v>
      </c>
      <c r="E77" t="s">
        <v>52</v>
      </c>
      <c r="F77" t="s">
        <v>221</v>
      </c>
      <c r="K77" t="s">
        <v>19</v>
      </c>
      <c r="L77">
        <v>0</v>
      </c>
    </row>
    <row r="78" spans="1:12" x14ac:dyDescent="0.3">
      <c r="A78" t="s">
        <v>14</v>
      </c>
      <c r="B78" t="s">
        <v>47</v>
      </c>
      <c r="C78" t="s">
        <v>53</v>
      </c>
      <c r="D78" t="s">
        <v>54</v>
      </c>
      <c r="E78" t="s">
        <v>55</v>
      </c>
      <c r="F78" t="s">
        <v>221</v>
      </c>
      <c r="K78" t="s">
        <v>19</v>
      </c>
      <c r="L78">
        <v>0</v>
      </c>
    </row>
    <row r="79" spans="1:12" x14ac:dyDescent="0.3">
      <c r="A79" t="s">
        <v>14</v>
      </c>
      <c r="B79" t="s">
        <v>47</v>
      </c>
      <c r="C79" t="s">
        <v>56</v>
      </c>
      <c r="D79" t="s">
        <v>30</v>
      </c>
      <c r="E79" t="s">
        <v>57</v>
      </c>
      <c r="F79" t="s">
        <v>221</v>
      </c>
      <c r="K79" t="s">
        <v>19</v>
      </c>
      <c r="L79">
        <v>0</v>
      </c>
    </row>
    <row r="80" spans="1:12" x14ac:dyDescent="0.3">
      <c r="A80" t="s">
        <v>14</v>
      </c>
      <c r="B80" t="s">
        <v>47</v>
      </c>
      <c r="C80" t="s">
        <v>58</v>
      </c>
      <c r="D80" t="s">
        <v>59</v>
      </c>
      <c r="E80" t="s">
        <v>60</v>
      </c>
      <c r="F80" t="s">
        <v>221</v>
      </c>
      <c r="K80" t="s">
        <v>19</v>
      </c>
      <c r="L80">
        <v>0</v>
      </c>
    </row>
    <row r="81" spans="1:12" x14ac:dyDescent="0.3">
      <c r="A81" t="s">
        <v>14</v>
      </c>
      <c r="B81" t="s">
        <v>47</v>
      </c>
      <c r="C81" t="s">
        <v>61</v>
      </c>
      <c r="D81" t="s">
        <v>42</v>
      </c>
      <c r="E81" t="s">
        <v>62</v>
      </c>
      <c r="F81" t="s">
        <v>221</v>
      </c>
      <c r="K81" t="s">
        <v>19</v>
      </c>
      <c r="L81">
        <v>0</v>
      </c>
    </row>
    <row r="82" spans="1:12" x14ac:dyDescent="0.3">
      <c r="A82" t="s">
        <v>14</v>
      </c>
      <c r="B82" t="s">
        <v>47</v>
      </c>
      <c r="C82" t="s">
        <v>63</v>
      </c>
      <c r="D82" t="s">
        <v>45</v>
      </c>
      <c r="E82" t="s">
        <v>64</v>
      </c>
      <c r="F82" t="s">
        <v>221</v>
      </c>
      <c r="K82" t="s">
        <v>19</v>
      </c>
      <c r="L8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G2" sqref="G2"/>
    </sheetView>
  </sheetViews>
  <sheetFormatPr defaultRowHeight="14.4" x14ac:dyDescent="0.3"/>
  <cols>
    <col min="1" max="1" width="14.109375" customWidth="1"/>
    <col min="2" max="2" width="4.6640625" bestFit="1" customWidth="1"/>
    <col min="3" max="3" width="10.21875" bestFit="1" customWidth="1"/>
    <col min="4" max="4" width="10.5546875" bestFit="1" customWidth="1"/>
    <col min="5" max="5" width="10.44140625" bestFit="1" customWidth="1"/>
    <col min="6" max="6" width="10.77734375" bestFit="1" customWidth="1"/>
    <col min="7" max="7" width="10.21875" bestFit="1" customWidth="1"/>
  </cols>
  <sheetData>
    <row r="1" spans="1:7" x14ac:dyDescent="0.3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19</v>
      </c>
      <c r="G1" s="1" t="s">
        <v>220</v>
      </c>
    </row>
    <row r="2" spans="1:7" x14ac:dyDescent="0.3">
      <c r="A2" t="s">
        <v>14</v>
      </c>
      <c r="B2">
        <v>4</v>
      </c>
      <c r="C2">
        <v>31</v>
      </c>
      <c r="D2">
        <v>0</v>
      </c>
      <c r="E2">
        <v>0</v>
      </c>
      <c r="F2">
        <v>31</v>
      </c>
      <c r="G2">
        <v>0</v>
      </c>
    </row>
    <row r="3" spans="1:7" x14ac:dyDescent="0.3">
      <c r="A3" t="s">
        <v>101</v>
      </c>
      <c r="B3">
        <v>4</v>
      </c>
      <c r="C3">
        <v>28</v>
      </c>
      <c r="D3">
        <v>0</v>
      </c>
      <c r="E3">
        <v>0</v>
      </c>
      <c r="F3">
        <v>28</v>
      </c>
      <c r="G3">
        <v>0</v>
      </c>
    </row>
    <row r="4" spans="1:7" x14ac:dyDescent="0.3">
      <c r="A4" t="s">
        <v>166</v>
      </c>
      <c r="B4">
        <v>3</v>
      </c>
      <c r="C4">
        <v>22</v>
      </c>
      <c r="D4">
        <v>0</v>
      </c>
      <c r="E4">
        <v>0</v>
      </c>
      <c r="F4">
        <v>22</v>
      </c>
      <c r="G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F8D6-060E-4CBC-BE3D-213193F16B02}">
  <dimension ref="A1:F17"/>
  <sheetViews>
    <sheetView workbookViewId="0">
      <selection activeCell="C2" sqref="C2:D17"/>
    </sheetView>
  </sheetViews>
  <sheetFormatPr defaultColWidth="65.21875" defaultRowHeight="14.4" x14ac:dyDescent="0.3"/>
  <cols>
    <col min="1" max="1" width="4" bestFit="1" customWidth="1"/>
    <col min="2" max="2" width="11.88671875" bestFit="1" customWidth="1"/>
    <col min="3" max="3" width="11.88671875" customWidth="1"/>
    <col min="4" max="4" width="53.5546875" bestFit="1" customWidth="1"/>
    <col min="5" max="5" width="38.44140625" bestFit="1" customWidth="1"/>
    <col min="6" max="6" width="140.77734375" bestFit="1" customWidth="1"/>
  </cols>
  <sheetData>
    <row r="1" spans="1:6" x14ac:dyDescent="0.3">
      <c r="A1" s="3" t="s">
        <v>222</v>
      </c>
      <c r="B1" s="3" t="s">
        <v>223</v>
      </c>
      <c r="C1" s="3"/>
      <c r="D1" s="3" t="s">
        <v>224</v>
      </c>
      <c r="E1" s="3" t="s">
        <v>225</v>
      </c>
      <c r="F1" s="3" t="s">
        <v>226</v>
      </c>
    </row>
    <row r="2" spans="1:6" x14ac:dyDescent="0.3">
      <c r="A2" s="5">
        <v>1</v>
      </c>
      <c r="B2" s="6" t="s">
        <v>227</v>
      </c>
      <c r="C2" s="4" t="str">
        <f>_xlfn.CONCAT(B2,": ")</f>
        <v xml:space="preserve">Varna: </v>
      </c>
      <c r="D2" s="5" t="s">
        <v>228</v>
      </c>
      <c r="E2" s="4" t="s">
        <v>229</v>
      </c>
      <c r="F2" s="5" t="s">
        <v>231</v>
      </c>
    </row>
    <row r="3" spans="1:6" x14ac:dyDescent="0.3">
      <c r="A3" s="5"/>
      <c r="B3" s="6"/>
      <c r="C3" s="4" t="str">
        <f t="shared" ref="C3:C17" si="0">_xlfn.CONCAT(B3,": ")</f>
        <v xml:space="preserve">: </v>
      </c>
      <c r="D3" s="5"/>
      <c r="E3" s="4" t="s">
        <v>230</v>
      </c>
      <c r="F3" s="5"/>
    </row>
    <row r="4" spans="1:6" x14ac:dyDescent="0.3">
      <c r="A4" s="5">
        <v>2</v>
      </c>
      <c r="B4" s="6" t="s">
        <v>232</v>
      </c>
      <c r="C4" s="4" t="str">
        <f t="shared" si="0"/>
        <v xml:space="preserve">Vashya: </v>
      </c>
      <c r="D4" s="5" t="s">
        <v>233</v>
      </c>
      <c r="E4" s="4" t="s">
        <v>234</v>
      </c>
      <c r="F4" s="5" t="s">
        <v>236</v>
      </c>
    </row>
    <row r="5" spans="1:6" x14ac:dyDescent="0.3">
      <c r="A5" s="5"/>
      <c r="B5" s="6"/>
      <c r="C5" s="4" t="str">
        <f t="shared" si="0"/>
        <v xml:space="preserve">: </v>
      </c>
      <c r="D5" s="5"/>
      <c r="E5" s="4" t="s">
        <v>235</v>
      </c>
      <c r="F5" s="5"/>
    </row>
    <row r="6" spans="1:6" x14ac:dyDescent="0.3">
      <c r="A6" s="5">
        <v>3</v>
      </c>
      <c r="B6" s="6" t="s">
        <v>237</v>
      </c>
      <c r="C6" s="4" t="str">
        <f t="shared" si="0"/>
        <v xml:space="preserve">Tara: </v>
      </c>
      <c r="D6" s="5" t="s">
        <v>238</v>
      </c>
      <c r="E6" s="4" t="s">
        <v>239</v>
      </c>
      <c r="F6" s="5" t="s">
        <v>241</v>
      </c>
    </row>
    <row r="7" spans="1:6" x14ac:dyDescent="0.3">
      <c r="A7" s="5"/>
      <c r="B7" s="6"/>
      <c r="C7" s="4" t="str">
        <f t="shared" si="0"/>
        <v xml:space="preserve">: </v>
      </c>
      <c r="D7" s="5"/>
      <c r="E7" s="4" t="s">
        <v>240</v>
      </c>
      <c r="F7" s="5"/>
    </row>
    <row r="8" spans="1:6" x14ac:dyDescent="0.3">
      <c r="A8" s="5">
        <v>4</v>
      </c>
      <c r="B8" s="6" t="s">
        <v>242</v>
      </c>
      <c r="C8" s="4" t="str">
        <f t="shared" si="0"/>
        <v xml:space="preserve">Yoni: </v>
      </c>
      <c r="D8" s="5" t="s">
        <v>243</v>
      </c>
      <c r="E8" s="4" t="s">
        <v>244</v>
      </c>
      <c r="F8" s="5" t="s">
        <v>246</v>
      </c>
    </row>
    <row r="9" spans="1:6" x14ac:dyDescent="0.3">
      <c r="A9" s="5"/>
      <c r="B9" s="6"/>
      <c r="C9" s="4" t="str">
        <f t="shared" si="0"/>
        <v xml:space="preserve">: </v>
      </c>
      <c r="D9" s="5"/>
      <c r="E9" s="4" t="s">
        <v>245</v>
      </c>
      <c r="F9" s="5"/>
    </row>
    <row r="10" spans="1:6" ht="28.8" x14ac:dyDescent="0.3">
      <c r="A10" s="5">
        <v>5</v>
      </c>
      <c r="B10" s="6" t="s">
        <v>247</v>
      </c>
      <c r="C10" s="4" t="str">
        <f t="shared" si="0"/>
        <v xml:space="preserve">Rasyadhipati: </v>
      </c>
      <c r="D10" s="5" t="s">
        <v>248</v>
      </c>
      <c r="E10" s="4" t="s">
        <v>249</v>
      </c>
      <c r="F10" s="5" t="s">
        <v>251</v>
      </c>
    </row>
    <row r="11" spans="1:6" x14ac:dyDescent="0.3">
      <c r="A11" s="5"/>
      <c r="B11" s="6"/>
      <c r="C11" s="4" t="str">
        <f t="shared" si="0"/>
        <v xml:space="preserve">: </v>
      </c>
      <c r="D11" s="5"/>
      <c r="E11" s="4" t="s">
        <v>250</v>
      </c>
      <c r="F11" s="5"/>
    </row>
    <row r="12" spans="1:6" x14ac:dyDescent="0.3">
      <c r="A12" s="5">
        <v>6</v>
      </c>
      <c r="B12" s="6" t="s">
        <v>252</v>
      </c>
      <c r="C12" s="4" t="str">
        <f t="shared" si="0"/>
        <v xml:space="preserve">Gana: </v>
      </c>
      <c r="D12" s="5" t="s">
        <v>253</v>
      </c>
      <c r="E12" s="4" t="s">
        <v>254</v>
      </c>
      <c r="F12" s="5" t="s">
        <v>256</v>
      </c>
    </row>
    <row r="13" spans="1:6" x14ac:dyDescent="0.3">
      <c r="A13" s="5"/>
      <c r="B13" s="6"/>
      <c r="C13" s="4" t="str">
        <f t="shared" si="0"/>
        <v xml:space="preserve">: </v>
      </c>
      <c r="D13" s="5"/>
      <c r="E13" s="4" t="s">
        <v>255</v>
      </c>
      <c r="F13" s="5"/>
    </row>
    <row r="14" spans="1:6" x14ac:dyDescent="0.3">
      <c r="A14" s="5">
        <v>7</v>
      </c>
      <c r="B14" s="6" t="s">
        <v>257</v>
      </c>
      <c r="C14" s="4" t="str">
        <f t="shared" si="0"/>
        <v xml:space="preserve">Rashi: </v>
      </c>
      <c r="D14" s="5" t="s">
        <v>258</v>
      </c>
      <c r="E14" s="4" t="s">
        <v>259</v>
      </c>
      <c r="F14" s="5" t="s">
        <v>261</v>
      </c>
    </row>
    <row r="15" spans="1:6" x14ac:dyDescent="0.3">
      <c r="A15" s="5"/>
      <c r="B15" s="6"/>
      <c r="C15" s="4" t="str">
        <f t="shared" si="0"/>
        <v xml:space="preserve">: </v>
      </c>
      <c r="D15" s="5"/>
      <c r="E15" s="4" t="s">
        <v>260</v>
      </c>
      <c r="F15" s="5"/>
    </row>
    <row r="16" spans="1:6" ht="28.8" x14ac:dyDescent="0.3">
      <c r="A16" s="5">
        <v>8</v>
      </c>
      <c r="B16" s="6" t="s">
        <v>262</v>
      </c>
      <c r="C16" s="4" t="str">
        <f t="shared" si="0"/>
        <v xml:space="preserve">Nandi (Nadi): </v>
      </c>
      <c r="D16" s="5" t="s">
        <v>263</v>
      </c>
      <c r="E16" s="4" t="s">
        <v>239</v>
      </c>
      <c r="F16" s="5" t="s">
        <v>265</v>
      </c>
    </row>
    <row r="17" spans="1:6" x14ac:dyDescent="0.3">
      <c r="A17" s="5"/>
      <c r="B17" s="6"/>
      <c r="C17" s="4" t="str">
        <f t="shared" si="0"/>
        <v xml:space="preserve">: </v>
      </c>
      <c r="D17" s="5"/>
      <c r="E17" s="4" t="s">
        <v>264</v>
      </c>
      <c r="F17" s="5"/>
    </row>
  </sheetData>
  <mergeCells count="32">
    <mergeCell ref="A14:A15"/>
    <mergeCell ref="B14:B15"/>
    <mergeCell ref="D14:D15"/>
    <mergeCell ref="F14:F15"/>
    <mergeCell ref="A16:A17"/>
    <mergeCell ref="B16:B17"/>
    <mergeCell ref="D16:D17"/>
    <mergeCell ref="F16:F17"/>
    <mergeCell ref="A10:A11"/>
    <mergeCell ref="B10:B11"/>
    <mergeCell ref="D10:D11"/>
    <mergeCell ref="F10:F11"/>
    <mergeCell ref="A12:A13"/>
    <mergeCell ref="B12:B13"/>
    <mergeCell ref="D12:D13"/>
    <mergeCell ref="F12:F13"/>
    <mergeCell ref="A6:A7"/>
    <mergeCell ref="B6:B7"/>
    <mergeCell ref="D6:D7"/>
    <mergeCell ref="F6:F7"/>
    <mergeCell ref="A8:A9"/>
    <mergeCell ref="B8:B9"/>
    <mergeCell ref="D8:D9"/>
    <mergeCell ref="F8:F9"/>
    <mergeCell ref="A2:A3"/>
    <mergeCell ref="B2:B3"/>
    <mergeCell ref="D2:D3"/>
    <mergeCell ref="F2:F3"/>
    <mergeCell ref="A4:A5"/>
    <mergeCell ref="B4:B5"/>
    <mergeCell ref="D4:D5"/>
    <mergeCell ref="F4:F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Detailed_Tasks</vt:lpstr>
      <vt:lpstr>Summary_Dashboard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Parakram Jain</cp:lastModifiedBy>
  <dcterms:created xsi:type="dcterms:W3CDTF">2025-11-08T04:29:17Z</dcterms:created>
  <dcterms:modified xsi:type="dcterms:W3CDTF">2026-02-21T19:35:14Z</dcterms:modified>
</cp:coreProperties>
</file>