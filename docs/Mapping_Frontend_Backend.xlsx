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arak\Documents\Parakram\astro_project\astro_aspects\docs\"/>
    </mc:Choice>
  </mc:AlternateContent>
  <xr:revisionPtr revIDLastSave="0" documentId="13_ncr:1_{3C656A75-0A3D-4FB2-A0DC-6B6B62A56CD7}" xr6:coauthVersionLast="47" xr6:coauthVersionMax="47" xr10:uidLastSave="{00000000-0000-0000-0000-000000000000}"/>
  <bookViews>
    <workbookView xWindow="28680" yWindow="645" windowWidth="29040" windowHeight="15720" xr2:uid="{7B6B54E3-18D2-4A3E-8A3B-B1268B17FAEA}"/>
  </bookViews>
  <sheets>
    <sheet name="Mapping_Frontend_Backend" sheetId="1" r:id="rId1"/>
    <sheet name="Sheet1" sheetId="2" r:id="rId2"/>
  </sheets>
  <definedNames>
    <definedName name="_xlnm._FilterDatabase" localSheetId="0" hidden="1">Mapping_Frontend_Backend!$A$1:$J$89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89" i="1" l="1"/>
  <c r="E88" i="1"/>
  <c r="E87" i="1"/>
  <c r="E86" i="1"/>
  <c r="E85" i="1"/>
  <c r="E41" i="1"/>
  <c r="E40" i="1"/>
  <c r="E39" i="1"/>
  <c r="E38" i="1"/>
  <c r="G6" i="2"/>
</calcChain>
</file>

<file path=xl/sharedStrings.xml><?xml version="1.0" encoding="utf-8"?>
<sst xmlns="http://schemas.openxmlformats.org/spreadsheetml/2006/main" count="758" uniqueCount="240">
  <si>
    <t>Page</t>
  </si>
  <si>
    <t>Section</t>
  </si>
  <si>
    <t>UI Label/Component</t>
  </si>
  <si>
    <t>Data Type</t>
  </si>
  <si>
    <t>Source/Generation Type</t>
  </si>
  <si>
    <t>Global</t>
  </si>
  <si>
    <t>Header</t>
  </si>
  <si>
    <t>Current Date</t>
  </si>
  <si>
    <t>String</t>
  </si>
  <si>
    <t>System</t>
  </si>
  <si>
    <t>User Plan (Free/Plus/Pro)</t>
  </si>
  <si>
    <t>Database</t>
  </si>
  <si>
    <t>User Name</t>
  </si>
  <si>
    <t>User Title/Badge</t>
  </si>
  <si>
    <t>Dashboard</t>
  </si>
  <si>
    <t>Season Info</t>
  </si>
  <si>
    <t>Calculation/API</t>
  </si>
  <si>
    <t>Natal Info</t>
  </si>
  <si>
    <t>Birth Date</t>
  </si>
  <si>
    <t>Date</t>
  </si>
  <si>
    <t>Birth Time</t>
  </si>
  <si>
    <t>Time</t>
  </si>
  <si>
    <t>Birth Location</t>
  </si>
  <si>
    <t>Big Three</t>
  </si>
  <si>
    <t>Sun Sign</t>
  </si>
  <si>
    <t>Astro Calculation</t>
  </si>
  <si>
    <t>Sun Degree</t>
  </si>
  <si>
    <t>Moon Sign</t>
  </si>
  <si>
    <t>Moon Degree</t>
  </si>
  <si>
    <t>Ascendant Sign</t>
  </si>
  <si>
    <t>Ascendant Degree</t>
  </si>
  <si>
    <t>Natal Core</t>
  </si>
  <si>
    <t>Description/Quote</t>
  </si>
  <si>
    <t>KPI 1 Name</t>
  </si>
  <si>
    <t>KPI 1 Short Desc</t>
  </si>
  <si>
    <t>KPI 2 Name</t>
  </si>
  <si>
    <t>KPI 2 Short Desc</t>
  </si>
  <si>
    <t>KPI 3 Name</t>
  </si>
  <si>
    <t>KPI 3 Short Desc</t>
  </si>
  <si>
    <t>Chart Visual</t>
  </si>
  <si>
    <t>Planets List</t>
  </si>
  <si>
    <t>Array[Obj]</t>
  </si>
  <si>
    <t>Planetary Positions</t>
  </si>
  <si>
    <t>Planet Name</t>
  </si>
  <si>
    <t>Planet Sign</t>
  </si>
  <si>
    <t>Planet Degree</t>
  </si>
  <si>
    <t>Number</t>
  </si>
  <si>
    <t>Is Retrograde</t>
  </si>
  <si>
    <t>Boolean</t>
  </si>
  <si>
    <t>Elemental Balance</t>
  </si>
  <si>
    <t>Fire %</t>
  </si>
  <si>
    <t>Earth %</t>
  </si>
  <si>
    <t>Air %</t>
  </si>
  <si>
    <t>Water %</t>
  </si>
  <si>
    <t>Daily Forecast</t>
  </si>
  <si>
    <t>Short Summary</t>
  </si>
  <si>
    <t>Outlook Tag</t>
  </si>
  <si>
    <t>Career Points</t>
  </si>
  <si>
    <t>Array[String]</t>
  </si>
  <si>
    <t>Relationships Points</t>
  </si>
  <si>
    <t>Money Points</t>
  </si>
  <si>
    <t>Health Points</t>
  </si>
  <si>
    <t>Upcoming</t>
  </si>
  <si>
    <t>Date (Day)</t>
  </si>
  <si>
    <t>API</t>
  </si>
  <si>
    <t>Date (Month)</t>
  </si>
  <si>
    <t>Event Title</t>
  </si>
  <si>
    <t>Event Description</t>
  </si>
  <si>
    <t>Natal Services</t>
  </si>
  <si>
    <t>Input Form</t>
  </si>
  <si>
    <t>Name</t>
  </si>
  <si>
    <t>User Input</t>
  </si>
  <si>
    <t>Location</t>
  </si>
  <si>
    <t>Report Header</t>
  </si>
  <si>
    <t>KPI Name</t>
  </si>
  <si>
    <t>KPI Value</t>
  </si>
  <si>
    <t>KPI Description</t>
  </si>
  <si>
    <t>Trait Label</t>
  </si>
  <si>
    <t>Trait Description</t>
  </si>
  <si>
    <t>Analysis</t>
  </si>
  <si>
    <t>Soul Blueprint</t>
  </si>
  <si>
    <t>Detailed Analysis</t>
  </si>
  <si>
    <t>Lifetime Timeline</t>
  </si>
  <si>
    <t>Event Age</t>
  </si>
  <si>
    <t>Event Year</t>
  </si>
  <si>
    <t>Event Duration</t>
  </si>
  <si>
    <t>Event Type</t>
  </si>
  <si>
    <t>Matchmaking</t>
  </si>
  <si>
    <t>Input</t>
  </si>
  <si>
    <t>Person A Details</t>
  </si>
  <si>
    <t>Object</t>
  </si>
  <si>
    <t>Person B Details</t>
  </si>
  <si>
    <t>Modern Result</t>
  </si>
  <si>
    <t>Total Score</t>
  </si>
  <si>
    <t>Summary</t>
  </si>
  <si>
    <t>KPI Score</t>
  </si>
  <si>
    <t>Vedic Result</t>
  </si>
  <si>
    <t>Match Band/Status</t>
  </si>
  <si>
    <t>Advice/Interpretation</t>
  </si>
  <si>
    <t>Vedic Table</t>
  </si>
  <si>
    <t>Koota Name</t>
  </si>
  <si>
    <t>Awarded Score</t>
  </si>
  <si>
    <t>Max Score</t>
  </si>
  <si>
    <t>Meaning/Impact</t>
  </si>
  <si>
    <t>Details</t>
  </si>
  <si>
    <t>Timeline</t>
  </si>
  <si>
    <t>Controls</t>
  </si>
  <si>
    <t>Mode</t>
  </si>
  <si>
    <t>User Input (Monthly/Yearly)</t>
  </si>
  <si>
    <t>Gantt Chart</t>
  </si>
  <si>
    <t>Aspect Name</t>
  </si>
  <si>
    <t>Nature</t>
  </si>
  <si>
    <t>Start Date</t>
  </si>
  <si>
    <t>Exact Date</t>
  </si>
  <si>
    <t>End Date</t>
  </si>
  <si>
    <t>List View</t>
  </si>
  <si>
    <t>Keywords</t>
  </si>
  <si>
    <t>Description</t>
  </si>
  <si>
    <t>Calendar</t>
  </si>
  <si>
    <t>Month/Year</t>
  </si>
  <si>
    <t>Grid Cell</t>
  </si>
  <si>
    <t>Day Number</t>
  </si>
  <si>
    <t>Aspect Title</t>
  </si>
  <si>
    <t>Aspect Type</t>
  </si>
  <si>
    <t>Aspect Description</t>
  </si>
  <si>
    <t>We can remove this for now</t>
  </si>
  <si>
    <t>Comments</t>
  </si>
  <si>
    <t>Status</t>
  </si>
  <si>
    <t>Done</t>
  </si>
  <si>
    <t>Astro AI API</t>
  </si>
  <si>
    <t>Use both Hindi and English and store it in the DB (one time execution for user)</t>
  </si>
  <si>
    <t>List of aspects
Use both Hindi and English</t>
  </si>
  <si>
    <t>Over all summary</t>
  </si>
  <si>
    <t>API_Path</t>
  </si>
  <si>
    <t>natal/characteristics</t>
  </si>
  <si>
    <t>natal/build_chart</t>
  </si>
  <si>
    <t>JSON_Path</t>
  </si>
  <si>
    <t>reports/life-events</t>
  </si>
  <si>
    <t>Get from Database</t>
  </si>
  <si>
    <t>Execute once and store it in the DB</t>
  </si>
  <si>
    <t>We can discuss how to use it.</t>
  </si>
  <si>
    <t>Key Potentials</t>
  </si>
  <si>
    <t>Core Characteristics</t>
  </si>
  <si>
    <t>data.description.short_summary.en.overall</t>
  </si>
  <si>
    <t>data.description.short_summary.en.facets</t>
  </si>
  <si>
    <t>data.description.short_summary.en.overall.facets</t>
  </si>
  <si>
    <t>data.planets.planetName:"Sun"</t>
  </si>
  <si>
    <t>data.planets.planetDegree</t>
  </si>
  <si>
    <t>data.planets.planetName:"Moon"</t>
  </si>
  <si>
    <t>data.planets.planetName:"_asc"</t>
  </si>
  <si>
    <t>data.planets.planetName</t>
  </si>
  <si>
    <t>data.planets.planetSign</t>
  </si>
  <si>
    <t>reports/daily-weekly</t>
  </si>
  <si>
    <t>data.shortSummary</t>
  </si>
  <si>
    <t>data.areas</t>
  </si>
  <si>
    <t>data.areas.career</t>
  </si>
  <si>
    <t>data.areasrelationships</t>
  </si>
  <si>
    <t>data.areas.money</t>
  </si>
  <si>
    <t>data.areas.health_adj</t>
  </si>
  <si>
    <t>Backend JSON Path</t>
  </si>
  <si>
    <t>data.description.core_characteristics.en.trait</t>
  </si>
  <si>
    <t>data.description.core_characteristics.en.meaning</t>
  </si>
  <si>
    <t>data.description.short_summary.en.overall
data.description.short_summary.en.facets</t>
  </si>
  <si>
    <t>data.description.detailed_summary.en.overall
data.description.detailed_summary.en.facets</t>
  </si>
  <si>
    <t>Remove this section</t>
  </si>
  <si>
    <t>data.planets["planetName" = "_asc"]["planetSign"]</t>
  </si>
  <si>
    <t>compat/synastry</t>
  </si>
  <si>
    <t>data.totalScore</t>
  </si>
  <si>
    <t>data.summary</t>
  </si>
  <si>
    <t>data.kpis.kpi</t>
  </si>
  <si>
    <t>data.kpis.score</t>
  </si>
  <si>
    <t>data.kpis.description</t>
  </si>
  <si>
    <t>data.result.summary.total</t>
  </si>
  <si>
    <t>data.result.summary.advice</t>
  </si>
  <si>
    <t>data.result.summary.band</t>
  </si>
  <si>
    <t>data.result.scores.{key}</t>
  </si>
  <si>
    <t>data.result.scores.{key}.awarded</t>
  </si>
  <si>
    <t>data.result.scores.{key}.max</t>
  </si>
  <si>
    <t>data.result.scores.{key}.meaning
data.result.scores.{key}.compatibility_status</t>
  </si>
  <si>
    <t>data.result.scores.{key}.details</t>
  </si>
  <si>
    <t>data.explanation</t>
  </si>
  <si>
    <t>data.items.aspect</t>
  </si>
  <si>
    <t>data.items.aspectNature</t>
  </si>
  <si>
    <t>data.items.startDate</t>
  </si>
  <si>
    <t>data.items.ExactDate</t>
  </si>
  <si>
    <t>data.items.endDate</t>
  </si>
  <si>
    <t>data.items.keywords</t>
  </si>
  <si>
    <t>data.items.description
data.items.keyPoints</t>
  </si>
  <si>
    <t>data.aiSummary</t>
  </si>
  <si>
    <t>compat/ashtakoota</t>
  </si>
  <si>
    <t>report/timeline</t>
  </si>
  <si>
    <t>natal/build_chart/data.planets.planetName:"Sun"</t>
  </si>
  <si>
    <t>natal/build_chart/data.planets.planetDegree</t>
  </si>
  <si>
    <t>natal/build_chart/data.planets.planetName:"Moon"</t>
  </si>
  <si>
    <t>natal/build_chart/data.planets.planetName:"_asc"</t>
  </si>
  <si>
    <t>natal/characteristics/data.description.short_summary.en.overall</t>
  </si>
  <si>
    <t>natal/characteristics/data.description.short_summary.en.overall.facets</t>
  </si>
  <si>
    <t>natal/build_chart/data.planets.planetName</t>
  </si>
  <si>
    <t>natal/build_chart/data.planets.planetSign</t>
  </si>
  <si>
    <t>reports/daily-weekly/data.shortSummary</t>
  </si>
  <si>
    <t>reports/daily-weekly/data.areas</t>
  </si>
  <si>
    <t>reports/daily-weekly/data.areas.career</t>
  </si>
  <si>
    <t>reports/daily-weekly/data.areasrelationships</t>
  </si>
  <si>
    <t>reports/daily-weekly/data.areas.money</t>
  </si>
  <si>
    <t>reports/daily-weekly/data.areas.health_adj</t>
  </si>
  <si>
    <t>natal/characteristics/data.description.short_summary.en.facets</t>
  </si>
  <si>
    <t>natal/characteristics/data.description.core_characteristics.en.trait</t>
  </si>
  <si>
    <t>natal/characteristics/data.description.core_characteristics.en.meaning</t>
  </si>
  <si>
    <t>natal/characteristics/data.description.short_summary.en.overall
data.description.short_summary.en.facets</t>
  </si>
  <si>
    <t>natal/characteristics/data.description.detailed_summary.en.overall
data.description.detailed_summary.en.facets</t>
  </si>
  <si>
    <t>reports/life-events/We can discuss how to use it.</t>
  </si>
  <si>
    <t>compat/synastry/data.totalScore</t>
  </si>
  <si>
    <t>compat/synastry/data.summary</t>
  </si>
  <si>
    <t>compat/synastry/data.kpis.kpi</t>
  </si>
  <si>
    <t>compat/synastry/data.kpis.score</t>
  </si>
  <si>
    <t>compat/synastry/data.kpis.description</t>
  </si>
  <si>
    <t>compat/ashtakoota/data.result.summary.total</t>
  </si>
  <si>
    <t>compat/ashtakoota/data.result.summary.band</t>
  </si>
  <si>
    <t>compat/ashtakoota/data.result.summary.advice</t>
  </si>
  <si>
    <t>compat/ashtakoota/data.result.scores.{key}</t>
  </si>
  <si>
    <t>compat/ashtakoota/data.result.scores.{key}.awarded</t>
  </si>
  <si>
    <t>compat/ashtakoota/data.result.scores.{key}.max</t>
  </si>
  <si>
    <t>compat/ashtakoota/data.result.scores.{key}.meaning
data.result.scores.{key}.compatibility_status</t>
  </si>
  <si>
    <t>compat/ashtakoota/data.result.scores.{key}.details</t>
  </si>
  <si>
    <t>compat/ashtakoota/data.explanation</t>
  </si>
  <si>
    <t>report/timeline/data.items.aspect</t>
  </si>
  <si>
    <t>report/timeline/data.items.aspectNature</t>
  </si>
  <si>
    <t>report/timeline/data.items.startDate</t>
  </si>
  <si>
    <t>report/timeline/data.items.ExactDate</t>
  </si>
  <si>
    <t>report/timeline/data.items.endDate</t>
  </si>
  <si>
    <t>report/timeline/data.items.keywords</t>
  </si>
  <si>
    <t>report/timeline/data.items.description
data.items.keyPoints</t>
  </si>
  <si>
    <t>report/timeline/data.aiSummary</t>
  </si>
  <si>
    <t>natal/characteristics/data.planets["planetName" = "_asc"]["planetSign"]</t>
  </si>
  <si>
    <t>reports/upcoming-events</t>
  </si>
  <si>
    <t>data LIST["date"]</t>
  </si>
  <si>
    <t>data LIST["event"]List["aspect"]</t>
  </si>
  <si>
    <t>data LIST["event"]List["aspectNature"]</t>
  </si>
  <si>
    <t>data LIST["event"]List["description"]</t>
  </si>
  <si>
    <t>Take 2 upcoming event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</si>
</sst>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6">
    <xf numFmtId="0" fontId="0" fillId="0" borderId="0" xfId="0"/>
    <xf numFmtId="0" fontId="16" fillId="0" borderId="0" xfId="0" applyFont="1"/>
    <xf numFmtId="0" fontId="16" fillId="0" borderId="0" xfId="0" applyFont="1" applyAlignment="1">
      <alignment horizontal="right"/>
    </xf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0" fillId="33" borderId="0" xfId="0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6F527-2095-420F-8F98-1B5B9DCBA563}">
  <dimension ref="A1:J89"/>
  <sheetViews>
    <sheetView tabSelected="1" workbookViewId="0">
      <pane ySplit="1" topLeftCell="A38" activePane="bottomLeft" state="frozen"/>
      <selection pane="bottomLeft" activeCell="E38" sqref="E38"/>
    </sheetView>
  </sheetViews>
  <sheetFormatPr defaultRowHeight="14.4" x14ac:dyDescent="0.3"/>
  <cols>
    <col min="1" max="1" width="13.21875" bestFit="1" customWidth="1"/>
    <col min="2" max="2" width="18.21875" bestFit="1" customWidth="1"/>
    <col min="3" max="3" width="23.33203125" bestFit="1" customWidth="1"/>
    <col min="4" max="4" width="11.88671875" bestFit="1" customWidth="1"/>
    <col min="5" max="5" width="65.109375" bestFit="1" customWidth="1"/>
    <col min="6" max="6" width="21.5546875" bestFit="1" customWidth="1"/>
    <col min="7" max="7" width="45.109375" bestFit="1" customWidth="1"/>
    <col min="8" max="8" width="25.5546875" bestFit="1" customWidth="1"/>
    <col min="9" max="9" width="69.88671875" bestFit="1" customWidth="1"/>
    <col min="10" max="10" width="6.21875" style="3" bestFit="1" customWidth="1"/>
  </cols>
  <sheetData>
    <row r="1" spans="1:1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159</v>
      </c>
      <c r="F1" s="1" t="s">
        <v>133</v>
      </c>
      <c r="G1" s="1" t="s">
        <v>136</v>
      </c>
      <c r="H1" s="1" t="s">
        <v>4</v>
      </c>
      <c r="I1" s="1" t="s">
        <v>126</v>
      </c>
      <c r="J1" s="2" t="s">
        <v>127</v>
      </c>
    </row>
    <row r="2" spans="1:10" x14ac:dyDescent="0.3">
      <c r="A2" t="s">
        <v>5</v>
      </c>
      <c r="B2" t="s">
        <v>6</v>
      </c>
      <c r="C2" t="s">
        <v>7</v>
      </c>
      <c r="D2" t="s">
        <v>8</v>
      </c>
      <c r="H2" t="s">
        <v>9</v>
      </c>
      <c r="J2" s="3" t="s">
        <v>128</v>
      </c>
    </row>
    <row r="3" spans="1:10" x14ac:dyDescent="0.3">
      <c r="A3" t="s">
        <v>5</v>
      </c>
      <c r="B3" t="s">
        <v>6</v>
      </c>
      <c r="C3" t="s">
        <v>10</v>
      </c>
      <c r="D3" t="s">
        <v>8</v>
      </c>
      <c r="H3" t="s">
        <v>11</v>
      </c>
      <c r="J3" s="3" t="s">
        <v>128</v>
      </c>
    </row>
    <row r="4" spans="1:10" x14ac:dyDescent="0.3">
      <c r="A4" t="s">
        <v>5</v>
      </c>
      <c r="B4" t="s">
        <v>6</v>
      </c>
      <c r="C4" t="s">
        <v>12</v>
      </c>
      <c r="D4" t="s">
        <v>8</v>
      </c>
      <c r="H4" t="s">
        <v>11</v>
      </c>
      <c r="J4" s="3" t="s">
        <v>128</v>
      </c>
    </row>
    <row r="5" spans="1:10" x14ac:dyDescent="0.3">
      <c r="A5" t="s">
        <v>5</v>
      </c>
      <c r="B5" t="s">
        <v>6</v>
      </c>
      <c r="C5" t="s">
        <v>13</v>
      </c>
      <c r="D5" t="s">
        <v>8</v>
      </c>
      <c r="H5" t="s">
        <v>11</v>
      </c>
      <c r="J5" s="3" t="s">
        <v>128</v>
      </c>
    </row>
    <row r="6" spans="1:10" x14ac:dyDescent="0.3">
      <c r="A6" t="s">
        <v>14</v>
      </c>
      <c r="B6" t="s">
        <v>6</v>
      </c>
      <c r="C6" t="s">
        <v>15</v>
      </c>
      <c r="D6" t="s">
        <v>8</v>
      </c>
      <c r="H6" t="s">
        <v>16</v>
      </c>
      <c r="J6" s="3" t="s">
        <v>128</v>
      </c>
    </row>
    <row r="7" spans="1:10" x14ac:dyDescent="0.3">
      <c r="A7" t="s">
        <v>14</v>
      </c>
      <c r="B7" t="s">
        <v>17</v>
      </c>
      <c r="C7" t="s">
        <v>18</v>
      </c>
      <c r="D7" t="s">
        <v>19</v>
      </c>
      <c r="H7" t="s">
        <v>11</v>
      </c>
      <c r="J7" s="3" t="s">
        <v>128</v>
      </c>
    </row>
    <row r="8" spans="1:10" x14ac:dyDescent="0.3">
      <c r="A8" t="s">
        <v>14</v>
      </c>
      <c r="B8" t="s">
        <v>17</v>
      </c>
      <c r="C8" t="s">
        <v>20</v>
      </c>
      <c r="D8" t="s">
        <v>21</v>
      </c>
      <c r="H8" t="s">
        <v>11</v>
      </c>
      <c r="J8" s="3" t="s">
        <v>128</v>
      </c>
    </row>
    <row r="9" spans="1:10" x14ac:dyDescent="0.3">
      <c r="A9" t="s">
        <v>14</v>
      </c>
      <c r="B9" t="s">
        <v>17</v>
      </c>
      <c r="C9" t="s">
        <v>22</v>
      </c>
      <c r="D9" t="s">
        <v>8</v>
      </c>
      <c r="H9" t="s">
        <v>11</v>
      </c>
      <c r="J9" s="3" t="s">
        <v>128</v>
      </c>
    </row>
    <row r="10" spans="1:10" x14ac:dyDescent="0.3">
      <c r="A10" t="s">
        <v>14</v>
      </c>
      <c r="B10" t="s">
        <v>23</v>
      </c>
      <c r="C10" t="s">
        <v>24</v>
      </c>
      <c r="D10" t="s">
        <v>8</v>
      </c>
      <c r="E10" t="s">
        <v>191</v>
      </c>
      <c r="F10" t="s">
        <v>135</v>
      </c>
      <c r="G10" t="s">
        <v>146</v>
      </c>
      <c r="H10" t="s">
        <v>25</v>
      </c>
      <c r="J10" s="3" t="s">
        <v>128</v>
      </c>
    </row>
    <row r="11" spans="1:10" x14ac:dyDescent="0.3">
      <c r="A11" t="s">
        <v>14</v>
      </c>
      <c r="B11" t="s">
        <v>23</v>
      </c>
      <c r="C11" t="s">
        <v>26</v>
      </c>
      <c r="D11" t="s">
        <v>8</v>
      </c>
      <c r="E11" t="s">
        <v>192</v>
      </c>
      <c r="F11" t="s">
        <v>135</v>
      </c>
      <c r="G11" t="s">
        <v>147</v>
      </c>
      <c r="H11" t="s">
        <v>25</v>
      </c>
      <c r="J11" s="3" t="s">
        <v>128</v>
      </c>
    </row>
    <row r="12" spans="1:10" x14ac:dyDescent="0.3">
      <c r="A12" t="s">
        <v>14</v>
      </c>
      <c r="B12" t="s">
        <v>23</v>
      </c>
      <c r="C12" t="s">
        <v>27</v>
      </c>
      <c r="D12" t="s">
        <v>8</v>
      </c>
      <c r="E12" t="s">
        <v>193</v>
      </c>
      <c r="F12" t="s">
        <v>135</v>
      </c>
      <c r="G12" t="s">
        <v>148</v>
      </c>
      <c r="H12" t="s">
        <v>25</v>
      </c>
      <c r="J12" s="3" t="s">
        <v>128</v>
      </c>
    </row>
    <row r="13" spans="1:10" x14ac:dyDescent="0.3">
      <c r="A13" t="s">
        <v>14</v>
      </c>
      <c r="B13" t="s">
        <v>23</v>
      </c>
      <c r="C13" t="s">
        <v>28</v>
      </c>
      <c r="D13" t="s">
        <v>8</v>
      </c>
      <c r="E13" t="s">
        <v>192</v>
      </c>
      <c r="F13" t="s">
        <v>135</v>
      </c>
      <c r="G13" t="s">
        <v>147</v>
      </c>
      <c r="H13" t="s">
        <v>25</v>
      </c>
      <c r="J13" s="3" t="s">
        <v>128</v>
      </c>
    </row>
    <row r="14" spans="1:10" x14ac:dyDescent="0.3">
      <c r="A14" t="s">
        <v>14</v>
      </c>
      <c r="B14" t="s">
        <v>23</v>
      </c>
      <c r="C14" t="s">
        <v>29</v>
      </c>
      <c r="D14" t="s">
        <v>8</v>
      </c>
      <c r="E14" t="s">
        <v>194</v>
      </c>
      <c r="F14" t="s">
        <v>135</v>
      </c>
      <c r="G14" t="s">
        <v>149</v>
      </c>
      <c r="H14" t="s">
        <v>25</v>
      </c>
      <c r="J14" s="3" t="s">
        <v>128</v>
      </c>
    </row>
    <row r="15" spans="1:10" x14ac:dyDescent="0.3">
      <c r="A15" t="s">
        <v>14</v>
      </c>
      <c r="B15" t="s">
        <v>23</v>
      </c>
      <c r="C15" t="s">
        <v>30</v>
      </c>
      <c r="D15" t="s">
        <v>8</v>
      </c>
      <c r="E15" t="s">
        <v>192</v>
      </c>
      <c r="F15" t="s">
        <v>135</v>
      </c>
      <c r="G15" t="s">
        <v>147</v>
      </c>
      <c r="H15" t="s">
        <v>25</v>
      </c>
      <c r="J15" s="3" t="s">
        <v>128</v>
      </c>
    </row>
    <row r="16" spans="1:10" x14ac:dyDescent="0.3">
      <c r="A16" t="s">
        <v>14</v>
      </c>
      <c r="B16" t="s">
        <v>31</v>
      </c>
      <c r="C16" t="s">
        <v>32</v>
      </c>
      <c r="D16" t="s">
        <v>8</v>
      </c>
      <c r="E16" t="s">
        <v>195</v>
      </c>
      <c r="F16" t="s">
        <v>134</v>
      </c>
      <c r="G16" t="s">
        <v>143</v>
      </c>
      <c r="H16" t="s">
        <v>129</v>
      </c>
      <c r="I16" t="s">
        <v>130</v>
      </c>
      <c r="J16" s="3" t="s">
        <v>128</v>
      </c>
    </row>
    <row r="17" spans="1:10" x14ac:dyDescent="0.3">
      <c r="A17" t="s">
        <v>14</v>
      </c>
      <c r="B17" t="s">
        <v>31</v>
      </c>
      <c r="C17" t="s">
        <v>33</v>
      </c>
      <c r="D17" t="s">
        <v>8</v>
      </c>
      <c r="E17" t="s">
        <v>196</v>
      </c>
      <c r="F17" t="s">
        <v>134</v>
      </c>
      <c r="G17" t="s">
        <v>145</v>
      </c>
      <c r="H17" t="s">
        <v>129</v>
      </c>
      <c r="I17" t="s">
        <v>130</v>
      </c>
      <c r="J17" s="3" t="s">
        <v>128</v>
      </c>
    </row>
    <row r="18" spans="1:10" x14ac:dyDescent="0.3">
      <c r="A18" t="s">
        <v>14</v>
      </c>
      <c r="B18" t="s">
        <v>31</v>
      </c>
      <c r="C18" t="s">
        <v>34</v>
      </c>
      <c r="D18" t="s">
        <v>8</v>
      </c>
      <c r="E18" t="s">
        <v>196</v>
      </c>
      <c r="F18" t="s">
        <v>134</v>
      </c>
      <c r="G18" t="s">
        <v>145</v>
      </c>
      <c r="H18" t="s">
        <v>129</v>
      </c>
      <c r="I18" t="s">
        <v>130</v>
      </c>
      <c r="J18" s="3" t="s">
        <v>128</v>
      </c>
    </row>
    <row r="19" spans="1:10" x14ac:dyDescent="0.3">
      <c r="A19" t="s">
        <v>14</v>
      </c>
      <c r="B19" t="s">
        <v>31</v>
      </c>
      <c r="C19" t="s">
        <v>35</v>
      </c>
      <c r="D19" t="s">
        <v>8</v>
      </c>
      <c r="E19" t="s">
        <v>196</v>
      </c>
      <c r="F19" t="s">
        <v>134</v>
      </c>
      <c r="G19" t="s">
        <v>145</v>
      </c>
      <c r="H19" t="s">
        <v>129</v>
      </c>
      <c r="I19" t="s">
        <v>130</v>
      </c>
      <c r="J19" s="3" t="s">
        <v>128</v>
      </c>
    </row>
    <row r="20" spans="1:10" x14ac:dyDescent="0.3">
      <c r="A20" t="s">
        <v>14</v>
      </c>
      <c r="B20" t="s">
        <v>31</v>
      </c>
      <c r="C20" t="s">
        <v>36</v>
      </c>
      <c r="D20" t="s">
        <v>8</v>
      </c>
      <c r="E20" t="s">
        <v>196</v>
      </c>
      <c r="F20" t="s">
        <v>134</v>
      </c>
      <c r="G20" t="s">
        <v>145</v>
      </c>
      <c r="H20" t="s">
        <v>129</v>
      </c>
      <c r="I20" t="s">
        <v>130</v>
      </c>
      <c r="J20" s="3" t="s">
        <v>128</v>
      </c>
    </row>
    <row r="21" spans="1:10" x14ac:dyDescent="0.3">
      <c r="A21" t="s">
        <v>14</v>
      </c>
      <c r="B21" t="s">
        <v>31</v>
      </c>
      <c r="C21" t="s">
        <v>37</v>
      </c>
      <c r="D21" t="s">
        <v>8</v>
      </c>
      <c r="E21" t="s">
        <v>196</v>
      </c>
      <c r="F21" t="s">
        <v>134</v>
      </c>
      <c r="G21" t="s">
        <v>145</v>
      </c>
      <c r="H21" t="s">
        <v>129</v>
      </c>
      <c r="I21" t="s">
        <v>130</v>
      </c>
      <c r="J21" s="3" t="s">
        <v>128</v>
      </c>
    </row>
    <row r="22" spans="1:10" x14ac:dyDescent="0.3">
      <c r="A22" t="s">
        <v>14</v>
      </c>
      <c r="B22" t="s">
        <v>31</v>
      </c>
      <c r="C22" t="s">
        <v>38</v>
      </c>
      <c r="D22" t="s">
        <v>8</v>
      </c>
      <c r="E22" t="s">
        <v>196</v>
      </c>
      <c r="F22" t="s">
        <v>134</v>
      </c>
      <c r="G22" t="s">
        <v>145</v>
      </c>
      <c r="H22" t="s">
        <v>129</v>
      </c>
      <c r="I22" t="s">
        <v>130</v>
      </c>
      <c r="J22" s="3" t="s">
        <v>128</v>
      </c>
    </row>
    <row r="23" spans="1:10" x14ac:dyDescent="0.3">
      <c r="A23" t="s">
        <v>14</v>
      </c>
      <c r="B23" t="s">
        <v>39</v>
      </c>
      <c r="C23" t="s">
        <v>40</v>
      </c>
      <c r="D23" t="s">
        <v>41</v>
      </c>
      <c r="E23" t="s">
        <v>197</v>
      </c>
      <c r="F23" t="s">
        <v>135</v>
      </c>
      <c r="G23" t="s">
        <v>150</v>
      </c>
      <c r="H23" t="s">
        <v>25</v>
      </c>
      <c r="J23" s="3" t="s">
        <v>128</v>
      </c>
    </row>
    <row r="24" spans="1:10" x14ac:dyDescent="0.3">
      <c r="A24" t="s">
        <v>14</v>
      </c>
      <c r="B24" t="s">
        <v>42</v>
      </c>
      <c r="C24" t="s">
        <v>43</v>
      </c>
      <c r="D24" t="s">
        <v>8</v>
      </c>
      <c r="E24" t="s">
        <v>197</v>
      </c>
      <c r="F24" t="s">
        <v>135</v>
      </c>
      <c r="G24" t="s">
        <v>150</v>
      </c>
      <c r="H24" t="s">
        <v>25</v>
      </c>
      <c r="J24" s="3" t="s">
        <v>128</v>
      </c>
    </row>
    <row r="25" spans="1:10" x14ac:dyDescent="0.3">
      <c r="A25" t="s">
        <v>14</v>
      </c>
      <c r="B25" t="s">
        <v>42</v>
      </c>
      <c r="C25" t="s">
        <v>44</v>
      </c>
      <c r="D25" t="s">
        <v>8</v>
      </c>
      <c r="E25" t="s">
        <v>198</v>
      </c>
      <c r="F25" t="s">
        <v>135</v>
      </c>
      <c r="G25" t="s">
        <v>151</v>
      </c>
      <c r="H25" t="s">
        <v>25</v>
      </c>
      <c r="J25" s="3" t="s">
        <v>128</v>
      </c>
    </row>
    <row r="26" spans="1:10" x14ac:dyDescent="0.3">
      <c r="A26" t="s">
        <v>14</v>
      </c>
      <c r="B26" t="s">
        <v>42</v>
      </c>
      <c r="C26" t="s">
        <v>45</v>
      </c>
      <c r="D26" t="s">
        <v>46</v>
      </c>
      <c r="E26" t="s">
        <v>192</v>
      </c>
      <c r="F26" t="s">
        <v>135</v>
      </c>
      <c r="G26" t="s">
        <v>147</v>
      </c>
      <c r="H26" t="s">
        <v>25</v>
      </c>
      <c r="J26" s="3" t="s">
        <v>128</v>
      </c>
    </row>
    <row r="27" spans="1:10" x14ac:dyDescent="0.3">
      <c r="A27" t="s">
        <v>14</v>
      </c>
      <c r="B27" t="s">
        <v>42</v>
      </c>
      <c r="C27" t="s">
        <v>47</v>
      </c>
      <c r="D27" t="s">
        <v>48</v>
      </c>
      <c r="I27" t="s">
        <v>125</v>
      </c>
      <c r="J27" s="3" t="s">
        <v>128</v>
      </c>
    </row>
    <row r="28" spans="1:10" x14ac:dyDescent="0.3">
      <c r="A28" t="s">
        <v>14</v>
      </c>
      <c r="B28" t="s">
        <v>49</v>
      </c>
      <c r="C28" t="s">
        <v>50</v>
      </c>
      <c r="D28" t="s">
        <v>46</v>
      </c>
      <c r="I28" t="s">
        <v>125</v>
      </c>
      <c r="J28" s="3" t="s">
        <v>128</v>
      </c>
    </row>
    <row r="29" spans="1:10" x14ac:dyDescent="0.3">
      <c r="A29" t="s">
        <v>14</v>
      </c>
      <c r="B29" t="s">
        <v>49</v>
      </c>
      <c r="C29" t="s">
        <v>51</v>
      </c>
      <c r="D29" t="s">
        <v>46</v>
      </c>
      <c r="I29" t="s">
        <v>125</v>
      </c>
      <c r="J29" s="3" t="s">
        <v>128</v>
      </c>
    </row>
    <row r="30" spans="1:10" x14ac:dyDescent="0.3">
      <c r="A30" t="s">
        <v>14</v>
      </c>
      <c r="B30" t="s">
        <v>49</v>
      </c>
      <c r="C30" t="s">
        <v>52</v>
      </c>
      <c r="D30" t="s">
        <v>46</v>
      </c>
      <c r="I30" t="s">
        <v>125</v>
      </c>
      <c r="J30" s="3" t="s">
        <v>128</v>
      </c>
    </row>
    <row r="31" spans="1:10" x14ac:dyDescent="0.3">
      <c r="A31" t="s">
        <v>14</v>
      </c>
      <c r="B31" t="s">
        <v>49</v>
      </c>
      <c r="C31" t="s">
        <v>53</v>
      </c>
      <c r="D31" t="s">
        <v>46</v>
      </c>
      <c r="I31" t="s">
        <v>125</v>
      </c>
      <c r="J31" s="3" t="s">
        <v>128</v>
      </c>
    </row>
    <row r="32" spans="1:10" x14ac:dyDescent="0.3">
      <c r="A32" t="s">
        <v>14</v>
      </c>
      <c r="B32" t="s">
        <v>54</v>
      </c>
      <c r="C32" t="s">
        <v>55</v>
      </c>
      <c r="D32" t="s">
        <v>8</v>
      </c>
      <c r="E32" t="s">
        <v>199</v>
      </c>
      <c r="F32" t="s">
        <v>152</v>
      </c>
      <c r="G32" t="s">
        <v>153</v>
      </c>
      <c r="H32" t="s">
        <v>25</v>
      </c>
      <c r="I32" t="s">
        <v>130</v>
      </c>
      <c r="J32" s="3" t="s">
        <v>128</v>
      </c>
    </row>
    <row r="33" spans="1:10" x14ac:dyDescent="0.3">
      <c r="A33" t="s">
        <v>14</v>
      </c>
      <c r="B33" t="s">
        <v>54</v>
      </c>
      <c r="C33" t="s">
        <v>56</v>
      </c>
      <c r="D33" t="s">
        <v>8</v>
      </c>
      <c r="E33" t="s">
        <v>200</v>
      </c>
      <c r="F33" t="s">
        <v>152</v>
      </c>
      <c r="G33" t="s">
        <v>154</v>
      </c>
      <c r="H33" t="s">
        <v>25</v>
      </c>
      <c r="I33" t="s">
        <v>130</v>
      </c>
      <c r="J33" s="3" t="s">
        <v>128</v>
      </c>
    </row>
    <row r="34" spans="1:10" x14ac:dyDescent="0.3">
      <c r="A34" t="s">
        <v>14</v>
      </c>
      <c r="B34" t="s">
        <v>54</v>
      </c>
      <c r="C34" t="s">
        <v>57</v>
      </c>
      <c r="D34" t="s">
        <v>58</v>
      </c>
      <c r="E34" t="s">
        <v>201</v>
      </c>
      <c r="F34" t="s">
        <v>152</v>
      </c>
      <c r="G34" t="s">
        <v>155</v>
      </c>
      <c r="H34" t="s">
        <v>25</v>
      </c>
      <c r="I34" t="s">
        <v>130</v>
      </c>
      <c r="J34" s="3" t="s">
        <v>128</v>
      </c>
    </row>
    <row r="35" spans="1:10" x14ac:dyDescent="0.3">
      <c r="A35" t="s">
        <v>14</v>
      </c>
      <c r="B35" t="s">
        <v>54</v>
      </c>
      <c r="C35" t="s">
        <v>59</v>
      </c>
      <c r="D35" t="s">
        <v>58</v>
      </c>
      <c r="E35" t="s">
        <v>202</v>
      </c>
      <c r="F35" t="s">
        <v>152</v>
      </c>
      <c r="G35" t="s">
        <v>156</v>
      </c>
      <c r="H35" t="s">
        <v>25</v>
      </c>
      <c r="I35" t="s">
        <v>130</v>
      </c>
      <c r="J35" s="3" t="s">
        <v>128</v>
      </c>
    </row>
    <row r="36" spans="1:10" x14ac:dyDescent="0.3">
      <c r="A36" t="s">
        <v>14</v>
      </c>
      <c r="B36" t="s">
        <v>54</v>
      </c>
      <c r="C36" t="s">
        <v>60</v>
      </c>
      <c r="D36" t="s">
        <v>58</v>
      </c>
      <c r="E36" t="s">
        <v>203</v>
      </c>
      <c r="F36" t="s">
        <v>152</v>
      </c>
      <c r="G36" t="s">
        <v>157</v>
      </c>
      <c r="H36" t="s">
        <v>25</v>
      </c>
      <c r="I36" t="s">
        <v>130</v>
      </c>
      <c r="J36" s="3" t="s">
        <v>128</v>
      </c>
    </row>
    <row r="37" spans="1:10" x14ac:dyDescent="0.3">
      <c r="A37" t="s">
        <v>14</v>
      </c>
      <c r="B37" t="s">
        <v>54</v>
      </c>
      <c r="C37" t="s">
        <v>61</v>
      </c>
      <c r="D37" t="s">
        <v>58</v>
      </c>
      <c r="E37" t="s">
        <v>204</v>
      </c>
      <c r="F37" t="s">
        <v>152</v>
      </c>
      <c r="G37" t="s">
        <v>158</v>
      </c>
      <c r="H37" t="s">
        <v>25</v>
      </c>
      <c r="I37" t="s">
        <v>130</v>
      </c>
      <c r="J37" s="3" t="s">
        <v>128</v>
      </c>
    </row>
    <row r="38" spans="1:10" x14ac:dyDescent="0.3">
      <c r="A38" t="s">
        <v>14</v>
      </c>
      <c r="B38" t="s">
        <v>62</v>
      </c>
      <c r="C38" t="s">
        <v>63</v>
      </c>
      <c r="D38" t="s">
        <v>46</v>
      </c>
      <c r="E38" t="str">
        <f>_xlfn.CONCAT(F38,"/",G38)</f>
        <v>reports/upcoming-events/data LIST["date"]</v>
      </c>
      <c r="F38" t="s">
        <v>234</v>
      </c>
      <c r="G38" t="s">
        <v>235</v>
      </c>
      <c r="H38" t="s">
        <v>64</v>
      </c>
      <c r="I38" t="s">
        <v>239</v>
      </c>
      <c r="J38" s="3" t="s">
        <v>128</v>
      </c>
    </row>
    <row r="39" spans="1:10" x14ac:dyDescent="0.3">
      <c r="A39" t="s">
        <v>14</v>
      </c>
      <c r="B39" t="s">
        <v>62</v>
      </c>
      <c r="C39" t="s">
        <v>65</v>
      </c>
      <c r="D39" t="s">
        <v>8</v>
      </c>
      <c r="E39" t="str">
        <f t="shared" ref="E39:E41" si="0">_xlfn.CONCAT(F39,"/",G39)</f>
        <v>reports/upcoming-events/data LIST["date"]</v>
      </c>
      <c r="F39" t="s">
        <v>234</v>
      </c>
      <c r="G39" t="s">
        <v>235</v>
      </c>
      <c r="H39" t="s">
        <v>64</v>
      </c>
      <c r="I39" t="s">
        <v>239</v>
      </c>
      <c r="J39" s="3" t="s">
        <v>128</v>
      </c>
    </row>
    <row r="40" spans="1:10" x14ac:dyDescent="0.3">
      <c r="A40" t="s">
        <v>14</v>
      </c>
      <c r="B40" t="s">
        <v>62</v>
      </c>
      <c r="C40" t="s">
        <v>66</v>
      </c>
      <c r="D40" t="s">
        <v>8</v>
      </c>
      <c r="E40" t="str">
        <f t="shared" si="0"/>
        <v>reports/upcoming-events/data LIST["event"]List["aspect"]</v>
      </c>
      <c r="F40" t="s">
        <v>234</v>
      </c>
      <c r="G40" t="s">
        <v>236</v>
      </c>
      <c r="H40" t="s">
        <v>25</v>
      </c>
      <c r="I40" t="s">
        <v>239</v>
      </c>
      <c r="J40" s="3" t="s">
        <v>128</v>
      </c>
    </row>
    <row r="41" spans="1:10" x14ac:dyDescent="0.3">
      <c r="A41" t="s">
        <v>14</v>
      </c>
      <c r="B41" t="s">
        <v>62</v>
      </c>
      <c r="C41" t="s">
        <v>67</v>
      </c>
      <c r="D41" t="s">
        <v>8</v>
      </c>
      <c r="E41" t="str">
        <f t="shared" si="0"/>
        <v>reports/upcoming-events/data LIST["event"]List["description"]</v>
      </c>
      <c r="F41" t="s">
        <v>234</v>
      </c>
      <c r="G41" t="s">
        <v>238</v>
      </c>
      <c r="I41" t="s">
        <v>239</v>
      </c>
      <c r="J41" s="3" t="s">
        <v>128</v>
      </c>
    </row>
    <row r="42" spans="1:10" x14ac:dyDescent="0.3">
      <c r="A42" t="s">
        <v>68</v>
      </c>
      <c r="B42" t="s">
        <v>69</v>
      </c>
      <c r="C42" t="s">
        <v>70</v>
      </c>
      <c r="D42" t="s">
        <v>8</v>
      </c>
      <c r="H42" t="s">
        <v>71</v>
      </c>
      <c r="J42" s="3" t="s">
        <v>128</v>
      </c>
    </row>
    <row r="43" spans="1:10" x14ac:dyDescent="0.3">
      <c r="A43" t="s">
        <v>68</v>
      </c>
      <c r="B43" t="s">
        <v>69</v>
      </c>
      <c r="C43" t="s">
        <v>19</v>
      </c>
      <c r="D43" t="s">
        <v>19</v>
      </c>
      <c r="H43" t="s">
        <v>71</v>
      </c>
      <c r="J43" s="3" t="s">
        <v>128</v>
      </c>
    </row>
    <row r="44" spans="1:10" x14ac:dyDescent="0.3">
      <c r="A44" t="s">
        <v>68</v>
      </c>
      <c r="B44" t="s">
        <v>69</v>
      </c>
      <c r="C44" t="s">
        <v>21</v>
      </c>
      <c r="D44" t="s">
        <v>21</v>
      </c>
      <c r="H44" t="s">
        <v>71</v>
      </c>
      <c r="J44" s="3" t="s">
        <v>128</v>
      </c>
    </row>
    <row r="45" spans="1:10" x14ac:dyDescent="0.3">
      <c r="A45" t="s">
        <v>68</v>
      </c>
      <c r="B45" t="s">
        <v>69</v>
      </c>
      <c r="C45" t="s">
        <v>72</v>
      </c>
      <c r="D45" t="s">
        <v>8</v>
      </c>
      <c r="H45" t="s">
        <v>71</v>
      </c>
      <c r="J45" s="3" t="s">
        <v>128</v>
      </c>
    </row>
    <row r="46" spans="1:10" x14ac:dyDescent="0.3">
      <c r="A46" t="s">
        <v>68</v>
      </c>
      <c r="B46" t="s">
        <v>73</v>
      </c>
      <c r="C46" t="s">
        <v>29</v>
      </c>
      <c r="D46" t="s">
        <v>8</v>
      </c>
      <c r="E46" t="s">
        <v>233</v>
      </c>
      <c r="F46" t="s">
        <v>134</v>
      </c>
      <c r="G46" t="s">
        <v>165</v>
      </c>
      <c r="H46" t="s">
        <v>25</v>
      </c>
      <c r="J46" s="3" t="s">
        <v>128</v>
      </c>
    </row>
    <row r="47" spans="1:10" x14ac:dyDescent="0.3">
      <c r="A47" s="5" t="s">
        <v>68</v>
      </c>
      <c r="B47" s="5" t="s">
        <v>141</v>
      </c>
      <c r="C47" s="5" t="s">
        <v>74</v>
      </c>
      <c r="D47" s="5" t="s">
        <v>8</v>
      </c>
      <c r="E47" s="5" t="s">
        <v>205</v>
      </c>
      <c r="F47" s="5" t="s">
        <v>134</v>
      </c>
      <c r="G47" s="5" t="s">
        <v>144</v>
      </c>
      <c r="H47" s="5"/>
      <c r="I47" s="5" t="s">
        <v>164</v>
      </c>
      <c r="J47" s="3" t="s">
        <v>128</v>
      </c>
    </row>
    <row r="48" spans="1:10" x14ac:dyDescent="0.3">
      <c r="A48" s="5" t="s">
        <v>68</v>
      </c>
      <c r="B48" s="5" t="s">
        <v>141</v>
      </c>
      <c r="C48" s="5" t="s">
        <v>75</v>
      </c>
      <c r="D48" s="5" t="s">
        <v>46</v>
      </c>
      <c r="E48" s="5" t="s">
        <v>205</v>
      </c>
      <c r="F48" s="5" t="s">
        <v>134</v>
      </c>
      <c r="G48" s="5" t="s">
        <v>144</v>
      </c>
      <c r="H48" s="5"/>
      <c r="I48" s="5" t="s">
        <v>164</v>
      </c>
      <c r="J48" s="3" t="s">
        <v>128</v>
      </c>
    </row>
    <row r="49" spans="1:10" x14ac:dyDescent="0.3">
      <c r="A49" s="5" t="s">
        <v>68</v>
      </c>
      <c r="B49" s="5" t="s">
        <v>141</v>
      </c>
      <c r="C49" s="5" t="s">
        <v>76</v>
      </c>
      <c r="D49" s="5" t="s">
        <v>8</v>
      </c>
      <c r="E49" s="5" t="s">
        <v>205</v>
      </c>
      <c r="F49" s="5" t="s">
        <v>134</v>
      </c>
      <c r="G49" s="5" t="s">
        <v>144</v>
      </c>
      <c r="H49" s="5"/>
      <c r="I49" s="5" t="s">
        <v>164</v>
      </c>
      <c r="J49" s="3" t="s">
        <v>128</v>
      </c>
    </row>
    <row r="50" spans="1:10" x14ac:dyDescent="0.3">
      <c r="A50" t="s">
        <v>68</v>
      </c>
      <c r="B50" t="s">
        <v>142</v>
      </c>
      <c r="C50" t="s">
        <v>77</v>
      </c>
      <c r="D50" t="s">
        <v>8</v>
      </c>
      <c r="E50" t="s">
        <v>206</v>
      </c>
      <c r="F50" t="s">
        <v>134</v>
      </c>
      <c r="G50" t="s">
        <v>160</v>
      </c>
      <c r="H50" t="s">
        <v>129</v>
      </c>
      <c r="J50" s="3" t="s">
        <v>128</v>
      </c>
    </row>
    <row r="51" spans="1:10" x14ac:dyDescent="0.3">
      <c r="A51" t="s">
        <v>68</v>
      </c>
      <c r="B51" t="s">
        <v>142</v>
      </c>
      <c r="C51" t="s">
        <v>78</v>
      </c>
      <c r="D51" t="s">
        <v>8</v>
      </c>
      <c r="E51" t="s">
        <v>207</v>
      </c>
      <c r="F51" t="s">
        <v>134</v>
      </c>
      <c r="G51" t="s">
        <v>161</v>
      </c>
      <c r="H51" t="s">
        <v>129</v>
      </c>
      <c r="J51" s="3" t="s">
        <v>128</v>
      </c>
    </row>
    <row r="52" spans="1:10" ht="28.8" x14ac:dyDescent="0.3">
      <c r="A52" t="s">
        <v>68</v>
      </c>
      <c r="B52" t="s">
        <v>79</v>
      </c>
      <c r="C52" t="s">
        <v>80</v>
      </c>
      <c r="D52" t="s">
        <v>8</v>
      </c>
      <c r="E52" t="s">
        <v>208</v>
      </c>
      <c r="F52" t="s">
        <v>134</v>
      </c>
      <c r="G52" s="4" t="s">
        <v>162</v>
      </c>
      <c r="H52" t="s">
        <v>129</v>
      </c>
      <c r="J52" s="3" t="s">
        <v>128</v>
      </c>
    </row>
    <row r="53" spans="1:10" ht="28.8" x14ac:dyDescent="0.3">
      <c r="A53" t="s">
        <v>68</v>
      </c>
      <c r="B53" t="s">
        <v>79</v>
      </c>
      <c r="C53" t="s">
        <v>81</v>
      </c>
      <c r="D53" t="s">
        <v>8</v>
      </c>
      <c r="E53" t="s">
        <v>209</v>
      </c>
      <c r="F53" t="s">
        <v>134</v>
      </c>
      <c r="G53" s="4" t="s">
        <v>163</v>
      </c>
      <c r="H53" t="s">
        <v>129</v>
      </c>
      <c r="J53" s="3" t="s">
        <v>128</v>
      </c>
    </row>
    <row r="54" spans="1:10" x14ac:dyDescent="0.3">
      <c r="A54" t="s">
        <v>68</v>
      </c>
      <c r="B54" t="s">
        <v>82</v>
      </c>
      <c r="C54" t="s">
        <v>83</v>
      </c>
      <c r="D54" t="s">
        <v>46</v>
      </c>
      <c r="E54" t="s">
        <v>210</v>
      </c>
      <c r="F54" t="s">
        <v>137</v>
      </c>
      <c r="G54" t="s">
        <v>140</v>
      </c>
      <c r="H54" t="s">
        <v>138</v>
      </c>
      <c r="I54" t="s">
        <v>139</v>
      </c>
      <c r="J54" s="3" t="s">
        <v>128</v>
      </c>
    </row>
    <row r="55" spans="1:10" x14ac:dyDescent="0.3">
      <c r="A55" t="s">
        <v>68</v>
      </c>
      <c r="B55" t="s">
        <v>82</v>
      </c>
      <c r="C55" t="s">
        <v>84</v>
      </c>
      <c r="D55" t="s">
        <v>46</v>
      </c>
      <c r="E55" t="s">
        <v>210</v>
      </c>
      <c r="F55" t="s">
        <v>137</v>
      </c>
      <c r="G55" t="s">
        <v>140</v>
      </c>
      <c r="H55" t="s">
        <v>138</v>
      </c>
      <c r="I55" t="s">
        <v>139</v>
      </c>
      <c r="J55" s="3" t="s">
        <v>128</v>
      </c>
    </row>
    <row r="56" spans="1:10" x14ac:dyDescent="0.3">
      <c r="A56" t="s">
        <v>68</v>
      </c>
      <c r="B56" t="s">
        <v>82</v>
      </c>
      <c r="C56" t="s">
        <v>85</v>
      </c>
      <c r="D56" t="s">
        <v>46</v>
      </c>
      <c r="E56" t="s">
        <v>210</v>
      </c>
      <c r="F56" t="s">
        <v>137</v>
      </c>
      <c r="G56" t="s">
        <v>140</v>
      </c>
      <c r="H56" t="s">
        <v>138</v>
      </c>
      <c r="I56" t="s">
        <v>139</v>
      </c>
      <c r="J56" s="3" t="s">
        <v>128</v>
      </c>
    </row>
    <row r="57" spans="1:10" x14ac:dyDescent="0.3">
      <c r="A57" t="s">
        <v>68</v>
      </c>
      <c r="B57" t="s">
        <v>82</v>
      </c>
      <c r="C57" t="s">
        <v>66</v>
      </c>
      <c r="D57" t="s">
        <v>8</v>
      </c>
      <c r="E57" t="s">
        <v>210</v>
      </c>
      <c r="F57" t="s">
        <v>137</v>
      </c>
      <c r="G57" t="s">
        <v>140</v>
      </c>
      <c r="H57" t="s">
        <v>138</v>
      </c>
      <c r="I57" t="s">
        <v>139</v>
      </c>
      <c r="J57" s="3" t="s">
        <v>128</v>
      </c>
    </row>
    <row r="58" spans="1:10" x14ac:dyDescent="0.3">
      <c r="A58" t="s">
        <v>68</v>
      </c>
      <c r="B58" t="s">
        <v>82</v>
      </c>
      <c r="C58" t="s">
        <v>67</v>
      </c>
      <c r="D58" t="s">
        <v>8</v>
      </c>
      <c r="E58" t="s">
        <v>210</v>
      </c>
      <c r="F58" t="s">
        <v>137</v>
      </c>
      <c r="G58" t="s">
        <v>140</v>
      </c>
      <c r="H58" t="s">
        <v>138</v>
      </c>
      <c r="I58" t="s">
        <v>139</v>
      </c>
      <c r="J58" s="3" t="s">
        <v>128</v>
      </c>
    </row>
    <row r="59" spans="1:10" x14ac:dyDescent="0.3">
      <c r="A59" t="s">
        <v>68</v>
      </c>
      <c r="B59" t="s">
        <v>82</v>
      </c>
      <c r="C59" t="s">
        <v>86</v>
      </c>
      <c r="D59" t="s">
        <v>8</v>
      </c>
      <c r="E59" t="s">
        <v>210</v>
      </c>
      <c r="F59" t="s">
        <v>137</v>
      </c>
      <c r="G59" t="s">
        <v>140</v>
      </c>
      <c r="H59" t="s">
        <v>138</v>
      </c>
      <c r="I59" t="s">
        <v>139</v>
      </c>
      <c r="J59" s="3" t="s">
        <v>128</v>
      </c>
    </row>
    <row r="60" spans="1:10" x14ac:dyDescent="0.3">
      <c r="A60" t="s">
        <v>87</v>
      </c>
      <c r="B60" t="s">
        <v>88</v>
      </c>
      <c r="C60" t="s">
        <v>89</v>
      </c>
      <c r="D60" t="s">
        <v>90</v>
      </c>
      <c r="H60" t="s">
        <v>71</v>
      </c>
      <c r="J60" s="3" t="s">
        <v>128</v>
      </c>
    </row>
    <row r="61" spans="1:10" x14ac:dyDescent="0.3">
      <c r="A61" t="s">
        <v>87</v>
      </c>
      <c r="B61" t="s">
        <v>88</v>
      </c>
      <c r="C61" t="s">
        <v>91</v>
      </c>
      <c r="D61" t="s">
        <v>90</v>
      </c>
      <c r="H61" t="s">
        <v>71</v>
      </c>
      <c r="J61" s="3" t="s">
        <v>128</v>
      </c>
    </row>
    <row r="62" spans="1:10" x14ac:dyDescent="0.3">
      <c r="A62" t="s">
        <v>87</v>
      </c>
      <c r="B62" t="s">
        <v>92</v>
      </c>
      <c r="C62" t="s">
        <v>93</v>
      </c>
      <c r="D62" t="s">
        <v>46</v>
      </c>
      <c r="E62" t="s">
        <v>211</v>
      </c>
      <c r="F62" t="s">
        <v>166</v>
      </c>
      <c r="G62" t="s">
        <v>167</v>
      </c>
      <c r="H62" t="s">
        <v>25</v>
      </c>
      <c r="J62" s="3" t="s">
        <v>128</v>
      </c>
    </row>
    <row r="63" spans="1:10" x14ac:dyDescent="0.3">
      <c r="A63" t="s">
        <v>87</v>
      </c>
      <c r="B63" t="s">
        <v>92</v>
      </c>
      <c r="C63" t="s">
        <v>94</v>
      </c>
      <c r="D63" t="s">
        <v>8</v>
      </c>
      <c r="E63" t="s">
        <v>212</v>
      </c>
      <c r="F63" t="s">
        <v>166</v>
      </c>
      <c r="G63" t="s">
        <v>168</v>
      </c>
      <c r="H63" t="s">
        <v>25</v>
      </c>
      <c r="J63" s="3" t="s">
        <v>128</v>
      </c>
    </row>
    <row r="64" spans="1:10" x14ac:dyDescent="0.3">
      <c r="A64" t="s">
        <v>87</v>
      </c>
      <c r="B64" t="s">
        <v>92</v>
      </c>
      <c r="C64" t="s">
        <v>74</v>
      </c>
      <c r="D64" t="s">
        <v>8</v>
      </c>
      <c r="E64" t="s">
        <v>213</v>
      </c>
      <c r="F64" t="s">
        <v>166</v>
      </c>
      <c r="G64" t="s">
        <v>169</v>
      </c>
      <c r="H64" t="s">
        <v>25</v>
      </c>
      <c r="J64" s="3" t="s">
        <v>128</v>
      </c>
    </row>
    <row r="65" spans="1:10" x14ac:dyDescent="0.3">
      <c r="A65" t="s">
        <v>87</v>
      </c>
      <c r="B65" t="s">
        <v>92</v>
      </c>
      <c r="C65" t="s">
        <v>95</v>
      </c>
      <c r="D65" t="s">
        <v>46</v>
      </c>
      <c r="E65" t="s">
        <v>214</v>
      </c>
      <c r="F65" t="s">
        <v>166</v>
      </c>
      <c r="G65" t="s">
        <v>170</v>
      </c>
      <c r="H65" t="s">
        <v>25</v>
      </c>
      <c r="J65" s="3" t="s">
        <v>128</v>
      </c>
    </row>
    <row r="66" spans="1:10" x14ac:dyDescent="0.3">
      <c r="A66" t="s">
        <v>87</v>
      </c>
      <c r="B66" t="s">
        <v>92</v>
      </c>
      <c r="C66" t="s">
        <v>76</v>
      </c>
      <c r="D66" t="s">
        <v>8</v>
      </c>
      <c r="E66" t="s">
        <v>215</v>
      </c>
      <c r="F66" t="s">
        <v>166</v>
      </c>
      <c r="G66" t="s">
        <v>171</v>
      </c>
      <c r="H66" t="s">
        <v>25</v>
      </c>
      <c r="J66" s="3" t="s">
        <v>128</v>
      </c>
    </row>
    <row r="67" spans="1:10" x14ac:dyDescent="0.3">
      <c r="A67" t="s">
        <v>87</v>
      </c>
      <c r="B67" t="s">
        <v>96</v>
      </c>
      <c r="C67" t="s">
        <v>93</v>
      </c>
      <c r="D67" t="s">
        <v>46</v>
      </c>
      <c r="E67" t="s">
        <v>216</v>
      </c>
      <c r="F67" t="s">
        <v>189</v>
      </c>
      <c r="G67" t="s">
        <v>172</v>
      </c>
      <c r="H67" t="s">
        <v>25</v>
      </c>
      <c r="J67" s="3" t="s">
        <v>128</v>
      </c>
    </row>
    <row r="68" spans="1:10" x14ac:dyDescent="0.3">
      <c r="A68" t="s">
        <v>87</v>
      </c>
      <c r="B68" t="s">
        <v>96</v>
      </c>
      <c r="C68" t="s">
        <v>97</v>
      </c>
      <c r="D68" t="s">
        <v>8</v>
      </c>
      <c r="E68" t="s">
        <v>217</v>
      </c>
      <c r="F68" t="s">
        <v>189</v>
      </c>
      <c r="G68" t="s">
        <v>174</v>
      </c>
      <c r="H68" t="s">
        <v>25</v>
      </c>
      <c r="J68" s="3" t="s">
        <v>128</v>
      </c>
    </row>
    <row r="69" spans="1:10" x14ac:dyDescent="0.3">
      <c r="A69" t="s">
        <v>87</v>
      </c>
      <c r="B69" t="s">
        <v>96</v>
      </c>
      <c r="C69" t="s">
        <v>98</v>
      </c>
      <c r="D69" t="s">
        <v>8</v>
      </c>
      <c r="E69" t="s">
        <v>218</v>
      </c>
      <c r="F69" t="s">
        <v>189</v>
      </c>
      <c r="G69" t="s">
        <v>173</v>
      </c>
      <c r="H69" t="s">
        <v>25</v>
      </c>
      <c r="J69" s="3" t="s">
        <v>128</v>
      </c>
    </row>
    <row r="70" spans="1:10" x14ac:dyDescent="0.3">
      <c r="A70" t="s">
        <v>87</v>
      </c>
      <c r="B70" t="s">
        <v>99</v>
      </c>
      <c r="C70" t="s">
        <v>100</v>
      </c>
      <c r="D70" t="s">
        <v>8</v>
      </c>
      <c r="E70" t="s">
        <v>219</v>
      </c>
      <c r="F70" t="s">
        <v>189</v>
      </c>
      <c r="G70" t="s">
        <v>175</v>
      </c>
      <c r="H70" t="s">
        <v>25</v>
      </c>
      <c r="J70" s="3" t="s">
        <v>128</v>
      </c>
    </row>
    <row r="71" spans="1:10" x14ac:dyDescent="0.3">
      <c r="A71" t="s">
        <v>87</v>
      </c>
      <c r="B71" t="s">
        <v>99</v>
      </c>
      <c r="C71" t="s">
        <v>101</v>
      </c>
      <c r="D71" t="s">
        <v>46</v>
      </c>
      <c r="E71" t="s">
        <v>220</v>
      </c>
      <c r="F71" t="s">
        <v>189</v>
      </c>
      <c r="G71" t="s">
        <v>176</v>
      </c>
      <c r="H71" t="s">
        <v>25</v>
      </c>
      <c r="J71" s="3" t="s">
        <v>128</v>
      </c>
    </row>
    <row r="72" spans="1:10" x14ac:dyDescent="0.3">
      <c r="A72" t="s">
        <v>87</v>
      </c>
      <c r="B72" t="s">
        <v>99</v>
      </c>
      <c r="C72" t="s">
        <v>102</v>
      </c>
      <c r="D72" t="s">
        <v>46</v>
      </c>
      <c r="E72" t="s">
        <v>221</v>
      </c>
      <c r="F72" t="s">
        <v>189</v>
      </c>
      <c r="G72" t="s">
        <v>177</v>
      </c>
      <c r="H72" t="s">
        <v>25</v>
      </c>
      <c r="J72" s="3" t="s">
        <v>128</v>
      </c>
    </row>
    <row r="73" spans="1:10" ht="28.8" x14ac:dyDescent="0.3">
      <c r="A73" t="s">
        <v>87</v>
      </c>
      <c r="B73" t="s">
        <v>99</v>
      </c>
      <c r="C73" t="s">
        <v>103</v>
      </c>
      <c r="D73" t="s">
        <v>8</v>
      </c>
      <c r="E73" t="s">
        <v>222</v>
      </c>
      <c r="F73" t="s">
        <v>189</v>
      </c>
      <c r="G73" s="4" t="s">
        <v>178</v>
      </c>
      <c r="H73" t="s">
        <v>25</v>
      </c>
      <c r="J73" s="3" t="s">
        <v>128</v>
      </c>
    </row>
    <row r="74" spans="1:10" x14ac:dyDescent="0.3">
      <c r="A74" t="s">
        <v>87</v>
      </c>
      <c r="B74" t="s">
        <v>99</v>
      </c>
      <c r="C74" t="s">
        <v>104</v>
      </c>
      <c r="D74" t="s">
        <v>8</v>
      </c>
      <c r="E74" t="s">
        <v>223</v>
      </c>
      <c r="F74" t="s">
        <v>189</v>
      </c>
      <c r="G74" t="s">
        <v>179</v>
      </c>
      <c r="H74" t="s">
        <v>25</v>
      </c>
      <c r="J74" s="3" t="s">
        <v>128</v>
      </c>
    </row>
    <row r="75" spans="1:10" x14ac:dyDescent="0.3">
      <c r="A75" t="s">
        <v>87</v>
      </c>
      <c r="B75" t="s">
        <v>99</v>
      </c>
      <c r="C75" t="s">
        <v>94</v>
      </c>
      <c r="D75" t="s">
        <v>8</v>
      </c>
      <c r="E75" t="s">
        <v>224</v>
      </c>
      <c r="F75" t="s">
        <v>189</v>
      </c>
      <c r="G75" t="s">
        <v>180</v>
      </c>
      <c r="H75" t="s">
        <v>25</v>
      </c>
      <c r="J75" s="3" t="s">
        <v>128</v>
      </c>
    </row>
    <row r="76" spans="1:10" x14ac:dyDescent="0.3">
      <c r="A76" t="s">
        <v>105</v>
      </c>
      <c r="B76" t="s">
        <v>106</v>
      </c>
      <c r="C76" t="s">
        <v>107</v>
      </c>
      <c r="D76" t="s">
        <v>8</v>
      </c>
      <c r="H76" t="s">
        <v>108</v>
      </c>
      <c r="J76" s="3" t="s">
        <v>128</v>
      </c>
    </row>
    <row r="77" spans="1:10" ht="28.8" x14ac:dyDescent="0.3">
      <c r="A77" t="s">
        <v>105</v>
      </c>
      <c r="B77" t="s">
        <v>109</v>
      </c>
      <c r="C77" t="s">
        <v>110</v>
      </c>
      <c r="D77" t="s">
        <v>8</v>
      </c>
      <c r="E77" t="s">
        <v>225</v>
      </c>
      <c r="F77" t="s">
        <v>190</v>
      </c>
      <c r="G77" t="s">
        <v>181</v>
      </c>
      <c r="H77" t="s">
        <v>25</v>
      </c>
      <c r="I77" s="4" t="s">
        <v>131</v>
      </c>
      <c r="J77" s="3" t="s">
        <v>128</v>
      </c>
    </row>
    <row r="78" spans="1:10" ht="28.8" x14ac:dyDescent="0.3">
      <c r="A78" t="s">
        <v>105</v>
      </c>
      <c r="B78" t="s">
        <v>109</v>
      </c>
      <c r="C78" t="s">
        <v>111</v>
      </c>
      <c r="D78" t="s">
        <v>8</v>
      </c>
      <c r="E78" t="s">
        <v>226</v>
      </c>
      <c r="F78" t="s">
        <v>190</v>
      </c>
      <c r="G78" t="s">
        <v>182</v>
      </c>
      <c r="H78" t="s">
        <v>25</v>
      </c>
      <c r="I78" s="4" t="s">
        <v>131</v>
      </c>
      <c r="J78" s="3" t="s">
        <v>128</v>
      </c>
    </row>
    <row r="79" spans="1:10" ht="28.8" x14ac:dyDescent="0.3">
      <c r="A79" t="s">
        <v>105</v>
      </c>
      <c r="B79" t="s">
        <v>109</v>
      </c>
      <c r="C79" t="s">
        <v>112</v>
      </c>
      <c r="D79" t="s">
        <v>19</v>
      </c>
      <c r="E79" t="s">
        <v>227</v>
      </c>
      <c r="F79" t="s">
        <v>190</v>
      </c>
      <c r="G79" t="s">
        <v>183</v>
      </c>
      <c r="H79" t="s">
        <v>25</v>
      </c>
      <c r="I79" s="4" t="s">
        <v>131</v>
      </c>
      <c r="J79" s="3" t="s">
        <v>128</v>
      </c>
    </row>
    <row r="80" spans="1:10" ht="28.8" x14ac:dyDescent="0.3">
      <c r="A80" t="s">
        <v>105</v>
      </c>
      <c r="B80" t="s">
        <v>109</v>
      </c>
      <c r="C80" t="s">
        <v>113</v>
      </c>
      <c r="D80" t="s">
        <v>19</v>
      </c>
      <c r="E80" t="s">
        <v>228</v>
      </c>
      <c r="F80" t="s">
        <v>190</v>
      </c>
      <c r="G80" t="s">
        <v>184</v>
      </c>
      <c r="H80" t="s">
        <v>25</v>
      </c>
      <c r="I80" s="4" t="s">
        <v>131</v>
      </c>
      <c r="J80" s="3" t="s">
        <v>128</v>
      </c>
    </row>
    <row r="81" spans="1:10" ht="28.8" x14ac:dyDescent="0.3">
      <c r="A81" t="s">
        <v>105</v>
      </c>
      <c r="B81" t="s">
        <v>109</v>
      </c>
      <c r="C81" t="s">
        <v>114</v>
      </c>
      <c r="D81" t="s">
        <v>19</v>
      </c>
      <c r="E81" t="s">
        <v>229</v>
      </c>
      <c r="F81" t="s">
        <v>190</v>
      </c>
      <c r="G81" t="s">
        <v>185</v>
      </c>
      <c r="H81" t="s">
        <v>25</v>
      </c>
      <c r="I81" s="4" t="s">
        <v>131</v>
      </c>
      <c r="J81" s="3" t="s">
        <v>128</v>
      </c>
    </row>
    <row r="82" spans="1:10" ht="28.8" x14ac:dyDescent="0.3">
      <c r="A82" t="s">
        <v>105</v>
      </c>
      <c r="B82" t="s">
        <v>115</v>
      </c>
      <c r="C82" t="s">
        <v>116</v>
      </c>
      <c r="D82" t="s">
        <v>8</v>
      </c>
      <c r="E82" t="s">
        <v>230</v>
      </c>
      <c r="F82" t="s">
        <v>190</v>
      </c>
      <c r="G82" t="s">
        <v>186</v>
      </c>
      <c r="H82" t="s">
        <v>25</v>
      </c>
      <c r="I82" s="4" t="s">
        <v>131</v>
      </c>
      <c r="J82" s="3" t="s">
        <v>128</v>
      </c>
    </row>
    <row r="83" spans="1:10" ht="28.8" x14ac:dyDescent="0.3">
      <c r="A83" t="s">
        <v>105</v>
      </c>
      <c r="B83" t="s">
        <v>115</v>
      </c>
      <c r="C83" t="s">
        <v>117</v>
      </c>
      <c r="D83" t="s">
        <v>8</v>
      </c>
      <c r="E83" t="s">
        <v>231</v>
      </c>
      <c r="F83" t="s">
        <v>190</v>
      </c>
      <c r="G83" s="4" t="s">
        <v>187</v>
      </c>
      <c r="H83" t="s">
        <v>25</v>
      </c>
      <c r="I83" s="4" t="s">
        <v>131</v>
      </c>
      <c r="J83" s="3" t="s">
        <v>128</v>
      </c>
    </row>
    <row r="84" spans="1:10" ht="28.8" x14ac:dyDescent="0.3">
      <c r="A84" t="s">
        <v>105</v>
      </c>
      <c r="B84" t="s">
        <v>94</v>
      </c>
      <c r="C84" t="s">
        <v>132</v>
      </c>
      <c r="D84" t="s">
        <v>8</v>
      </c>
      <c r="E84" t="s">
        <v>232</v>
      </c>
      <c r="F84" t="s">
        <v>190</v>
      </c>
      <c r="G84" s="4" t="s">
        <v>188</v>
      </c>
      <c r="H84" t="s">
        <v>129</v>
      </c>
      <c r="I84" s="4" t="s">
        <v>131</v>
      </c>
      <c r="J84" s="3" t="s">
        <v>128</v>
      </c>
    </row>
    <row r="85" spans="1:10" x14ac:dyDescent="0.3">
      <c r="A85" t="s">
        <v>118</v>
      </c>
      <c r="B85" t="s">
        <v>6</v>
      </c>
      <c r="C85" t="s">
        <v>119</v>
      </c>
      <c r="D85" t="s">
        <v>19</v>
      </c>
      <c r="E85" t="str">
        <f t="shared" ref="E85:E89" si="1">_xlfn.CONCAT(F85,"/",G85)</f>
        <v>reports/upcoming-events/data LIST["date"]</v>
      </c>
      <c r="F85" t="s">
        <v>234</v>
      </c>
      <c r="G85" t="s">
        <v>235</v>
      </c>
      <c r="J85" s="3" t="s">
        <v>128</v>
      </c>
    </row>
    <row r="86" spans="1:10" x14ac:dyDescent="0.3">
      <c r="A86" t="s">
        <v>118</v>
      </c>
      <c r="B86" t="s">
        <v>120</v>
      </c>
      <c r="C86" t="s">
        <v>121</v>
      </c>
      <c r="D86" t="s">
        <v>46</v>
      </c>
      <c r="E86" t="str">
        <f t="shared" si="1"/>
        <v>reports/upcoming-events/data LIST["date"]</v>
      </c>
      <c r="F86" t="s">
        <v>234</v>
      </c>
      <c r="G86" t="s">
        <v>235</v>
      </c>
      <c r="J86" s="3" t="s">
        <v>128</v>
      </c>
    </row>
    <row r="87" spans="1:10" x14ac:dyDescent="0.3">
      <c r="A87" t="s">
        <v>118</v>
      </c>
      <c r="B87" t="s">
        <v>120</v>
      </c>
      <c r="C87" t="s">
        <v>122</v>
      </c>
      <c r="D87" t="s">
        <v>8</v>
      </c>
      <c r="E87" t="str">
        <f t="shared" si="1"/>
        <v>reports/upcoming-events/data LIST["event"]List["aspect"]</v>
      </c>
      <c r="F87" t="s">
        <v>234</v>
      </c>
      <c r="G87" t="s">
        <v>236</v>
      </c>
      <c r="J87" s="3" t="s">
        <v>128</v>
      </c>
    </row>
    <row r="88" spans="1:10" x14ac:dyDescent="0.3">
      <c r="A88" t="s">
        <v>118</v>
      </c>
      <c r="B88" t="s">
        <v>120</v>
      </c>
      <c r="C88" t="s">
        <v>123</v>
      </c>
      <c r="D88" t="s">
        <v>8</v>
      </c>
      <c r="E88" t="str">
        <f t="shared" si="1"/>
        <v>reports/upcoming-events/data LIST["event"]List["aspectNature"]</v>
      </c>
      <c r="F88" t="s">
        <v>234</v>
      </c>
      <c r="G88" t="s">
        <v>237</v>
      </c>
      <c r="J88" s="3" t="s">
        <v>128</v>
      </c>
    </row>
    <row r="89" spans="1:10" x14ac:dyDescent="0.3">
      <c r="A89" t="s">
        <v>118</v>
      </c>
      <c r="B89" t="s">
        <v>120</v>
      </c>
      <c r="C89" t="s">
        <v>124</v>
      </c>
      <c r="D89" t="s">
        <v>8</v>
      </c>
      <c r="E89" t="str">
        <f t="shared" si="1"/>
        <v>reports/upcoming-events/data LIST["event"]List["description"]</v>
      </c>
      <c r="F89" t="s">
        <v>234</v>
      </c>
      <c r="G89" t="s">
        <v>238</v>
      </c>
      <c r="J89" s="3" t="s">
        <v>128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0C582-9DAA-46A5-9369-5884C9B44E04}">
  <dimension ref="F6:G7"/>
  <sheetViews>
    <sheetView workbookViewId="0">
      <selection activeCell="F8" sqref="F8"/>
    </sheetView>
  </sheetViews>
  <sheetFormatPr defaultRowHeight="14.4" x14ac:dyDescent="0.3"/>
  <sheetData>
    <row r="6" spans="6:7" x14ac:dyDescent="0.3">
      <c r="F6">
        <v>365</v>
      </c>
      <c r="G6">
        <f>F6*F7</f>
        <v>1825</v>
      </c>
    </row>
    <row r="7" spans="6:7" x14ac:dyDescent="0.3">
      <c r="F7">
        <v>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Mapping_Frontend_Backend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Parakram Jain</dc:creator>
  <cp:lastModifiedBy>Parakram Jain</cp:lastModifiedBy>
  <dcterms:created xsi:type="dcterms:W3CDTF">2025-12-05T14:49:20Z</dcterms:created>
  <dcterms:modified xsi:type="dcterms:W3CDTF">2025-12-15T02:16:06Z</dcterms:modified>
</cp:coreProperties>
</file>